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40960" windowHeight="20840" tabRatio="600" firstSheet="0" activeTab="0" autoFilterDateGrouping="1"/>
  </bookViews>
  <sheets>
    <sheet name="Dashboard" sheetId="1" state="visible" r:id="rId1"/>
    <sheet name="Data" sheetId="2" state="visible" r:id="rId2"/>
    <sheet name="Item Master" sheetId="3" state="visible" r:id="rId3"/>
    <sheet name="อโศก" sheetId="4" state="visible" r:id="rId4"/>
    <sheet name="พระราม 3" sheetId="5" state="visible" r:id="rId5"/>
    <sheet name="แฟชั่น 3" sheetId="6" state="visible" r:id="rId6"/>
    <sheet name="แฟชั่น B" sheetId="7" state="visible" r:id="rId7"/>
    <sheet name="เอสพลานาด" sheetId="8" state="visible" r:id="rId8"/>
    <sheet name="ขายเงินสด" sheetId="9" state="visible" r:id="rId9"/>
  </sheets>
  <definedNames>
    <definedName name="_xlnm._FilterDatabase" localSheetId="1" hidden="1">'Data'!$A$1:$G$1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&quot;—&quot;"/>
    <numFmt numFmtId="165" formatCode="0.0%"/>
    <numFmt numFmtId="166" formatCode="#,##0;&quot;&quot;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color rgb="FF555555"/>
      <sz val="8"/>
    </font>
    <font>
      <name val="Arial"/>
      <family val="2"/>
      <color rgb="FF555555"/>
      <sz val="9"/>
    </font>
    <font>
      <name val="Arial"/>
      <family val="2"/>
      <b val="1"/>
      <color rgb="FF999999"/>
      <sz val="8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13"/>
    </font>
    <font>
      <name val="Arial"/>
      <family val="2"/>
      <color rgb="FF595959"/>
      <sz val="9"/>
    </font>
    <font>
      <name val="Arial"/>
      <family val="2"/>
      <b val="1"/>
      <color rgb="FFFFFFFF"/>
      <sz val="16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2F5496"/>
      </patternFill>
    </fill>
    <fill>
      <patternFill patternType="solid">
        <fgColor rgb="FFD6E4F7"/>
      </patternFill>
    </fill>
    <fill>
      <patternFill patternType="solid">
        <fgColor rgb="FFD0EAF0"/>
      </patternFill>
    </fill>
    <fill>
      <patternFill patternType="solid">
        <fgColor rgb="FFD6F0E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F5C8B"/>
      </patternFill>
    </fill>
    <fill>
      <patternFill patternType="solid">
        <fgColor rgb="FFE2D0F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3" fontId="16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3" fontId="16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3" fontId="16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left" vertical="center"/>
    </xf>
    <xf numFmtId="164" fontId="8" fillId="9" borderId="1" applyAlignment="1" pivotButton="0" quotePrefix="0" xfId="0">
      <alignment horizontal="right" vertical="center"/>
    </xf>
    <xf numFmtId="3" fontId="16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right" vertical="center"/>
    </xf>
    <xf numFmtId="3" fontId="16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0" fontId="16" fillId="15" borderId="1" applyAlignment="1" pivotButton="0" quotePrefix="0" xfId="0">
      <alignment horizontal="left" vertical="center"/>
    </xf>
    <xf numFmtId="164" fontId="8" fillId="15" borderId="1" applyAlignment="1" pivotButton="0" quotePrefix="0" xfId="0">
      <alignment horizontal="right" vertical="center"/>
    </xf>
    <xf numFmtId="3" fontId="16" fillId="15" borderId="1" applyAlignment="1" pivotButton="0" quotePrefix="0" xfId="0">
      <alignment horizontal="right" vertical="center"/>
    </xf>
    <xf numFmtId="165" fontId="8" fillId="1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3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center" vertical="center"/>
    </xf>
    <xf numFmtId="3" fontId="17" fillId="6" borderId="1" applyAlignment="1" pivotButton="0" quotePrefix="0" xfId="0">
      <alignment horizontal="right" vertical="center"/>
    </xf>
    <xf numFmtId="3" fontId="17" fillId="7" borderId="1" applyAlignment="1" pivotButton="0" quotePrefix="0" xfId="0">
      <alignment horizontal="right" vertical="center"/>
    </xf>
    <xf numFmtId="3" fontId="17" fillId="8" borderId="1" applyAlignment="1" pivotButton="0" quotePrefix="0" xfId="0">
      <alignment horizontal="right" vertical="center"/>
    </xf>
    <xf numFmtId="3" fontId="17" fillId="9" borderId="1" applyAlignment="1" pivotButton="0" quotePrefix="0" xfId="0">
      <alignment horizontal="right" vertical="center"/>
    </xf>
    <xf numFmtId="3" fontId="17" fillId="10" borderId="1" applyAlignment="1" pivotButton="0" quotePrefix="0" xfId="0">
      <alignment horizontal="right" vertical="center"/>
    </xf>
    <xf numFmtId="3" fontId="17" fillId="15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3" fontId="8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3" fontId="8" fillId="1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6" fontId="8" fillId="11" borderId="1" applyAlignment="1" pivotButton="0" quotePrefix="0" xfId="0">
      <alignment horizontal="right" vertical="center"/>
    </xf>
    <xf numFmtId="3" fontId="7" fillId="11" borderId="1" applyAlignment="1" pivotButton="0" quotePrefix="0" xfId="0">
      <alignment horizontal="right" vertical="center"/>
    </xf>
    <xf numFmtId="165" fontId="8" fillId="11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166" fontId="8" fillId="12" borderId="1" applyAlignment="1" pivotButton="0" quotePrefix="0" xfId="0">
      <alignment horizontal="right" vertical="center"/>
    </xf>
    <xf numFmtId="3" fontId="7" fillId="12" borderId="1" applyAlignment="1" pivotButton="0" quotePrefix="0" xfId="0">
      <alignment horizontal="right" vertical="center"/>
    </xf>
    <xf numFmtId="165" fontId="8" fillId="12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166" fontId="8" fillId="13" borderId="1" applyAlignment="1" pivotButton="0" quotePrefix="0" xfId="0">
      <alignment horizontal="right" vertical="center"/>
    </xf>
    <xf numFmtId="3" fontId="7" fillId="13" borderId="1" applyAlignment="1" pivotButton="0" quotePrefix="0" xfId="0">
      <alignment horizontal="right" vertical="center"/>
    </xf>
    <xf numFmtId="165" fontId="8" fillId="13" borderId="1" applyAlignment="1" pivotButton="0" quotePrefix="0" xfId="0">
      <alignment horizontal="right" vertical="center"/>
    </xf>
    <xf numFmtId="0" fontId="0" fillId="5" borderId="1" pivotButton="0" quotePrefix="0" xfId="0"/>
    <xf numFmtId="3" fontId="6" fillId="5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right" vertical="center"/>
    </xf>
    <xf numFmtId="3" fontId="6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0" fillId="0" borderId="0" pivotButton="0" quotePrefix="0" xfId="0"/>
    <xf numFmtId="0" fontId="16" fillId="9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3" fontId="15" fillId="6" borderId="1" applyAlignment="1" pivotButton="0" quotePrefix="0" xfId="0">
      <alignment horizontal="center" vertical="center"/>
    </xf>
    <xf numFmtId="3" fontId="15" fillId="7" borderId="1" applyAlignment="1" pivotButton="0" quotePrefix="0" xfId="0">
      <alignment horizontal="center" vertical="center"/>
    </xf>
    <xf numFmtId="3" fontId="15" fillId="10" borderId="1" applyAlignment="1" pivotButton="0" quotePrefix="0" xfId="0">
      <alignment horizontal="center" vertical="center"/>
    </xf>
    <xf numFmtId="3" fontId="15" fillId="1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3" fontId="14" fillId="2" borderId="1" applyAlignment="1" pivotButton="0" quotePrefix="0" xfId="0">
      <alignment horizontal="center" vertical="center"/>
    </xf>
    <xf numFmtId="3" fontId="15" fillId="8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3" fontId="15" fillId="9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right" vertical="center"/>
    </xf>
    <xf numFmtId="165" fontId="8" fillId="15" borderId="1" applyAlignment="1" pivotButton="0" quotePrefix="0" xfId="0">
      <alignment horizontal="right" vertical="center"/>
    </xf>
    <xf numFmtId="166" fontId="8" fillId="11" borderId="1" applyAlignment="1" pivotButton="0" quotePrefix="0" xfId="0">
      <alignment horizontal="right" vertical="center"/>
    </xf>
    <xf numFmtId="165" fontId="8" fillId="11" borderId="1" applyAlignment="1" pivotButton="0" quotePrefix="0" xfId="0">
      <alignment horizontal="right" vertical="center"/>
    </xf>
    <xf numFmtId="166" fontId="8" fillId="12" borderId="1" applyAlignment="1" pivotButton="0" quotePrefix="0" xfId="0">
      <alignment horizontal="right" vertical="center"/>
    </xf>
    <xf numFmtId="165" fontId="8" fillId="12" borderId="1" applyAlignment="1" pivotButton="0" quotePrefix="0" xfId="0">
      <alignment horizontal="right" vertical="center"/>
    </xf>
    <xf numFmtId="166" fontId="8" fillId="13" borderId="1" applyAlignment="1" pivotButton="0" quotePrefix="0" xfId="0">
      <alignment horizontal="right" vertical="center"/>
    </xf>
    <xf numFmtId="165" fontId="8" fillId="13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tabSelected="1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:AH1"/>
    </sheetView>
  </sheetViews>
  <sheetFormatPr baseColWidth="10" defaultColWidth="8.83203125" defaultRowHeight="15"/>
  <cols>
    <col width="18" customWidth="1" style="87" min="1" max="1"/>
    <col width="9" customWidth="1" style="87" min="2" max="32"/>
    <col width="13" customWidth="1" style="87" min="33" max="33"/>
    <col width="8" customWidth="1" style="87" min="34" max="34"/>
  </cols>
  <sheetData>
    <row r="1" ht="27.75" customHeight="1" s="87">
      <c r="A1" s="105" t="inlineStr">
        <is>
          <t>🍽️  Food Market — รายงานยอดขาย พฤษภาคม 2569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7" t="n"/>
    </row>
    <row r="2" ht="15" customHeight="1" s="87">
      <c r="A2" s="89" t="inlineStr">
        <is>
          <t>Python → Data sheet → Dashboard อัปเดตอัตโนมัติ • SUMIFS บน Item_Code + Branch</t>
        </is>
      </c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6" t="n"/>
      <c r="AD2" s="116" t="n"/>
      <c r="AE2" s="116" t="n"/>
      <c r="AF2" s="116" t="n"/>
      <c r="AG2" s="116" t="n"/>
      <c r="AH2" s="117" t="n"/>
    </row>
    <row r="3" ht="6" customHeight="1" s="87"/>
    <row r="4" ht="21.75" customHeight="1" s="87">
      <c r="A4" s="106" t="inlineStr">
        <is>
          <t>รวมทุกสาขา</t>
        </is>
      </c>
      <c r="B4" s="117" t="n"/>
      <c r="C4" s="96" t="inlineStr">
        <is>
          <t>อโศก</t>
        </is>
      </c>
      <c r="D4" s="117" t="n"/>
      <c r="E4" s="97" t="inlineStr">
        <is>
          <t>พระราม 3</t>
        </is>
      </c>
      <c r="F4" s="117" t="n"/>
      <c r="G4" s="107" t="inlineStr">
        <is>
          <t>แฟชั่น 3</t>
        </is>
      </c>
      <c r="H4" s="117" t="n"/>
      <c r="I4" s="108" t="inlineStr">
        <is>
          <t>แฟชั่น B</t>
        </is>
      </c>
      <c r="J4" s="117" t="n"/>
      <c r="K4" s="109" t="inlineStr">
        <is>
          <t>เอสพลานาด</t>
        </is>
      </c>
      <c r="L4" s="117" t="n"/>
      <c r="M4" s="110" t="inlineStr">
        <is>
          <t>ขายเงินสด</t>
        </is>
      </c>
      <c r="N4" s="117" t="n"/>
    </row>
    <row r="5" ht="31.5" customHeight="1" s="87">
      <c r="A5" s="101">
        <f>SUM(C5,E5,G5,I5,K5,M5)</f>
        <v/>
      </c>
      <c r="B5" s="117" t="n"/>
      <c r="C5" s="90">
        <f>IFERROR(SUMIFS(Data!$G:$G,Data!$B:$B,"อโศก",Data!$A:$A,"&gt;="&amp;DATE(2026,5,1),Data!$A:$A,"&lt;="&amp;DATE(2026,5,31)),0)</f>
        <v/>
      </c>
      <c r="D5" s="117" t="n"/>
      <c r="E5" s="91">
        <f>IFERROR(SUMIFS(Data!$G:$G,Data!$B:$B,"พระราม 3",Data!$A:$A,"&gt;="&amp;DATE(2026,5,1),Data!$A:$A,"&lt;="&amp;DATE(2026,5,31)),0)</f>
        <v/>
      </c>
      <c r="F5" s="117" t="n"/>
      <c r="G5" s="102">
        <f>IFERROR(SUMIFS(Data!$G:$G,Data!$B:$B,"แฟชั่น 3",Data!$A:$A,"&gt;="&amp;DATE(2026,5,1),Data!$A:$A,"&lt;="&amp;DATE(2026,5,31)),0)</f>
        <v/>
      </c>
      <c r="H5" s="117" t="n"/>
      <c r="I5" s="104">
        <f>IFERROR(SUMIFS(Data!$G:$G,Data!$B:$B,"แฟชั่น B",Data!$A:$A,"&gt;="&amp;DATE(2026,5,1),Data!$A:$A,"&lt;="&amp;DATE(2026,5,31)),0)</f>
        <v/>
      </c>
      <c r="J5" s="117" t="n"/>
      <c r="K5" s="92">
        <f>IFERROR(SUMIFS(Data!$G:$G,Data!$B:$B,"เอสพลานาด",Data!$A:$A,"&gt;="&amp;DATE(2026,5,1),Data!$A:$A,"&lt;="&amp;DATE(2026,5,31)),0)</f>
        <v/>
      </c>
      <c r="L5" s="117" t="n"/>
      <c r="M5" s="93">
        <f>IFERROR(SUMIFS(Data!$G:$G,Data!$B:$B,"ขายเงินสด",Data!$A:$A,"&gt;="&amp;DATE(2026,5,1),Data!$A:$A,"&lt;="&amp;DATE(2026,5,31)),0)</f>
        <v/>
      </c>
      <c r="N5" s="117" t="n"/>
    </row>
    <row r="6" ht="18" customHeight="1" s="87">
      <c r="A6" s="94" t="inlineStr">
        <is>
          <t>฿</t>
        </is>
      </c>
      <c r="B6" s="117" t="n"/>
      <c r="C6" s="86" t="inlineStr">
        <is>
          <t>฿</t>
        </is>
      </c>
      <c r="D6" s="117" t="n"/>
      <c r="E6" s="99" t="inlineStr">
        <is>
          <t>฿</t>
        </is>
      </c>
      <c r="F6" s="117" t="n"/>
      <c r="G6" s="98" t="inlineStr">
        <is>
          <t>฿</t>
        </is>
      </c>
      <c r="H6" s="117" t="n"/>
      <c r="I6" s="88" t="inlineStr">
        <is>
          <t>฿</t>
        </is>
      </c>
      <c r="J6" s="117" t="n"/>
      <c r="K6" s="103" t="inlineStr">
        <is>
          <t>฿</t>
        </is>
      </c>
      <c r="L6" s="117" t="n"/>
      <c r="M6" s="100" t="inlineStr">
        <is>
          <t>฿</t>
        </is>
      </c>
      <c r="N6" s="117" t="n"/>
    </row>
    <row r="7" ht="7.5" customHeight="1" s="87"/>
    <row r="8" ht="24" customHeight="1" s="87">
      <c r="A8" s="106" t="inlineStr">
        <is>
          <t>สาขา</t>
        </is>
      </c>
      <c r="B8" s="9" t="inlineStr">
        <is>
          <t>ศ 1/5</t>
        </is>
      </c>
      <c r="C8" s="9" t="inlineStr">
        <is>
          <t>ส 2/5</t>
        </is>
      </c>
      <c r="D8" s="9" t="inlineStr">
        <is>
          <t>อา 3/5</t>
        </is>
      </c>
      <c r="E8" s="9" t="inlineStr">
        <is>
          <t>จ 4/5</t>
        </is>
      </c>
      <c r="F8" s="9" t="inlineStr">
        <is>
          <t>อ 5/5</t>
        </is>
      </c>
      <c r="G8" s="9" t="inlineStr">
        <is>
          <t>พ 6/5</t>
        </is>
      </c>
      <c r="H8" s="9" t="inlineStr">
        <is>
          <t>พฤ 7/5</t>
        </is>
      </c>
      <c r="I8" s="9" t="inlineStr">
        <is>
          <t>ศ 8/5</t>
        </is>
      </c>
      <c r="J8" s="9" t="inlineStr">
        <is>
          <t>ส 9/5</t>
        </is>
      </c>
      <c r="K8" s="9" t="inlineStr">
        <is>
          <t>อา 10/5</t>
        </is>
      </c>
      <c r="L8" s="9" t="inlineStr">
        <is>
          <t>จ 11/5</t>
        </is>
      </c>
      <c r="M8" s="9" t="inlineStr">
        <is>
          <t>อ 12/5</t>
        </is>
      </c>
      <c r="N8" s="9" t="inlineStr">
        <is>
          <t>พ 13/5</t>
        </is>
      </c>
      <c r="O8" s="9" t="inlineStr">
        <is>
          <t>พฤ 14/5</t>
        </is>
      </c>
      <c r="P8" s="9" t="inlineStr">
        <is>
          <t>ศ 15/5</t>
        </is>
      </c>
      <c r="Q8" s="9" t="inlineStr">
        <is>
          <t>ส 16/5</t>
        </is>
      </c>
      <c r="R8" s="9" t="inlineStr">
        <is>
          <t>อา 17/5</t>
        </is>
      </c>
      <c r="S8" s="9" t="inlineStr">
        <is>
          <t>จ 18/5</t>
        </is>
      </c>
      <c r="T8" s="9" t="inlineStr">
        <is>
          <t>อ 19/5</t>
        </is>
      </c>
      <c r="U8" s="9" t="inlineStr">
        <is>
          <t>พ 20/5</t>
        </is>
      </c>
      <c r="V8" s="9" t="inlineStr">
        <is>
          <t>พฤ 21/5</t>
        </is>
      </c>
      <c r="W8" s="9" t="inlineStr">
        <is>
          <t>ศ 22/5</t>
        </is>
      </c>
      <c r="X8" s="9" t="inlineStr">
        <is>
          <t>ส 23/5</t>
        </is>
      </c>
      <c r="Y8" s="9" t="inlineStr">
        <is>
          <t>อา 24/5</t>
        </is>
      </c>
      <c r="Z8" s="9" t="inlineStr">
        <is>
          <t>จ 25/5</t>
        </is>
      </c>
      <c r="AA8" s="9" t="inlineStr">
        <is>
          <t>อ 26/5</t>
        </is>
      </c>
      <c r="AB8" s="9" t="inlineStr">
        <is>
          <t>พ 27/5</t>
        </is>
      </c>
      <c r="AC8" s="9" t="inlineStr">
        <is>
          <t>พฤ 28/5</t>
        </is>
      </c>
      <c r="AD8" s="9" t="inlineStr">
        <is>
          <t>ศ 29/5</t>
        </is>
      </c>
      <c r="AE8" s="9" t="inlineStr">
        <is>
          <t>ส 30/5</t>
        </is>
      </c>
      <c r="AF8" s="9" t="inlineStr">
        <is>
          <t>อา 31/5</t>
        </is>
      </c>
      <c r="AG8" s="9" t="inlineStr">
        <is>
          <t>รวม (฿)</t>
        </is>
      </c>
      <c r="AH8" s="9" t="inlineStr">
        <is>
          <t>%</t>
        </is>
      </c>
    </row>
    <row r="9" ht="21.75" customHeight="1" s="87">
      <c r="A9" s="10" t="inlineStr">
        <is>
          <t>อโศก</t>
        </is>
      </c>
      <c r="B9" s="118">
        <f>IFERROR(SUMIFS(Data!$G:$G,Data!$B:$B,"อโศก",Data!$A:$A,DATE(2026,5,1)),"—")</f>
        <v/>
      </c>
      <c r="C9" s="118">
        <f>IFERROR(SUMIFS(Data!$G:$G,Data!$B:$B,"อโศก",Data!$A:$A,DATE(2026,5,2)),"—")</f>
        <v/>
      </c>
      <c r="D9" s="118">
        <f>IFERROR(SUMIFS(Data!$G:$G,Data!$B:$B,"อโศก",Data!$A:$A,DATE(2026,5,3)),"—")</f>
        <v/>
      </c>
      <c r="E9" s="118">
        <f>IFERROR(SUMIFS(Data!$G:$G,Data!$B:$B,"อโศก",Data!$A:$A,DATE(2026,5,4)),"—")</f>
        <v/>
      </c>
      <c r="F9" s="118">
        <f>IFERROR(SUMIFS(Data!$G:$G,Data!$B:$B,"อโศก",Data!$A:$A,DATE(2026,5,5)),"—")</f>
        <v/>
      </c>
      <c r="G9" s="118">
        <f>IFERROR(SUMIFS(Data!$G:$G,Data!$B:$B,"อโศก",Data!$A:$A,DATE(2026,5,6)),"—")</f>
        <v/>
      </c>
      <c r="H9" s="118">
        <f>IFERROR(SUMIFS(Data!$G:$G,Data!$B:$B,"อโศก",Data!$A:$A,DATE(2026,5,7)),"—")</f>
        <v/>
      </c>
      <c r="I9" s="118">
        <f>IFERROR(SUMIFS(Data!$G:$G,Data!$B:$B,"อโศก",Data!$A:$A,DATE(2026,5,8)),"—")</f>
        <v/>
      </c>
      <c r="J9" s="118">
        <f>IFERROR(SUMIFS(Data!$G:$G,Data!$B:$B,"อโศก",Data!$A:$A,DATE(2026,5,9)),"—")</f>
        <v/>
      </c>
      <c r="K9" s="118">
        <f>IFERROR(SUMIFS(Data!$G:$G,Data!$B:$B,"อโศก",Data!$A:$A,DATE(2026,5,10)),"—")</f>
        <v/>
      </c>
      <c r="L9" s="118">
        <f>IFERROR(SUMIFS(Data!$G:$G,Data!$B:$B,"อโศก",Data!$A:$A,DATE(2026,5,11)),"—")</f>
        <v/>
      </c>
      <c r="M9" s="118">
        <f>IFERROR(SUMIFS(Data!$G:$G,Data!$B:$B,"อโศก",Data!$A:$A,DATE(2026,5,12)),"—")</f>
        <v/>
      </c>
      <c r="N9" s="118">
        <f>IFERROR(SUMIFS(Data!$G:$G,Data!$B:$B,"อโศก",Data!$A:$A,DATE(2026,5,13)),"—")</f>
        <v/>
      </c>
      <c r="O9" s="118">
        <f>IFERROR(SUMIFS(Data!$G:$G,Data!$B:$B,"อโศก",Data!$A:$A,DATE(2026,5,14)),"—")</f>
        <v/>
      </c>
      <c r="P9" s="118">
        <f>IFERROR(SUMIFS(Data!$G:$G,Data!$B:$B,"อโศก",Data!$A:$A,DATE(2026,5,15)),"—")</f>
        <v/>
      </c>
      <c r="Q9" s="118">
        <f>IFERROR(SUMIFS(Data!$G:$G,Data!$B:$B,"อโศก",Data!$A:$A,DATE(2026,5,16)),"—")</f>
        <v/>
      </c>
      <c r="R9" s="118">
        <f>IFERROR(SUMIFS(Data!$G:$G,Data!$B:$B,"อโศก",Data!$A:$A,DATE(2026,5,17)),"—")</f>
        <v/>
      </c>
      <c r="S9" s="118">
        <f>IFERROR(SUMIFS(Data!$G:$G,Data!$B:$B,"อโศก",Data!$A:$A,DATE(2026,5,18)),"—")</f>
        <v/>
      </c>
      <c r="T9" s="118">
        <f>IFERROR(SUMIFS(Data!$G:$G,Data!$B:$B,"อโศก",Data!$A:$A,DATE(2026,5,19)),"—")</f>
        <v/>
      </c>
      <c r="U9" s="118">
        <f>IFERROR(SUMIFS(Data!$G:$G,Data!$B:$B,"อโศก",Data!$A:$A,DATE(2026,5,20)),"—")</f>
        <v/>
      </c>
      <c r="V9" s="118">
        <f>IFERROR(SUMIFS(Data!$G:$G,Data!$B:$B,"อโศก",Data!$A:$A,DATE(2026,5,21)),"—")</f>
        <v/>
      </c>
      <c r="W9" s="118">
        <f>IFERROR(SUMIFS(Data!$G:$G,Data!$B:$B,"อโศก",Data!$A:$A,DATE(2026,5,22)),"—")</f>
        <v/>
      </c>
      <c r="X9" s="118">
        <f>IFERROR(SUMIFS(Data!$G:$G,Data!$B:$B,"อโศก",Data!$A:$A,DATE(2026,5,23)),"—")</f>
        <v/>
      </c>
      <c r="Y9" s="118">
        <f>IFERROR(SUMIFS(Data!$G:$G,Data!$B:$B,"อโศก",Data!$A:$A,DATE(2026,5,24)),"—")</f>
        <v/>
      </c>
      <c r="Z9" s="118">
        <f>IFERROR(SUMIFS(Data!$G:$G,Data!$B:$B,"อโศก",Data!$A:$A,DATE(2026,5,25)),"—")</f>
        <v/>
      </c>
      <c r="AA9" s="118">
        <f>IFERROR(SUMIFS(Data!$G:$G,Data!$B:$B,"อโศก",Data!$A:$A,DATE(2026,5,26)),"—")</f>
        <v/>
      </c>
      <c r="AB9" s="118">
        <f>IFERROR(SUMIFS(Data!$G:$G,Data!$B:$B,"อโศก",Data!$A:$A,DATE(2026,5,27)),"—")</f>
        <v/>
      </c>
      <c r="AC9" s="118">
        <f>IFERROR(SUMIFS(Data!$G:$G,Data!$B:$B,"อโศก",Data!$A:$A,DATE(2026,5,28)),"—")</f>
        <v/>
      </c>
      <c r="AD9" s="118">
        <f>IFERROR(SUMIFS(Data!$G:$G,Data!$B:$B,"อโศก",Data!$A:$A,DATE(2026,5,29)),"—")</f>
        <v/>
      </c>
      <c r="AE9" s="118">
        <f>IFERROR(SUMIFS(Data!$G:$G,Data!$B:$B,"อโศก",Data!$A:$A,DATE(2026,5,30)),"—")</f>
        <v/>
      </c>
      <c r="AF9" s="118">
        <f>IFERROR(SUMIFS(Data!$G:$G,Data!$B:$B,"อโศก",Data!$A:$A,DATE(2026,5,31)),"—")</f>
        <v/>
      </c>
      <c r="AG9" s="12">
        <f>IFERROR(SUM(B9:AF9),0)</f>
        <v/>
      </c>
      <c r="AH9" s="119">
        <f>IFERROR(AG9/AG15,0)</f>
        <v/>
      </c>
    </row>
    <row r="10" ht="21.75" customHeight="1" s="87">
      <c r="A10" s="14" t="inlineStr">
        <is>
          <t>พระราม 3</t>
        </is>
      </c>
      <c r="B10" s="120">
        <f>IFERROR(SUMIFS(Data!$G:$G,Data!$B:$B,"พระราม 3",Data!$A:$A,DATE(2026,5,1)),"—")</f>
        <v/>
      </c>
      <c r="C10" s="120">
        <f>IFERROR(SUMIFS(Data!$G:$G,Data!$B:$B,"พระราม 3",Data!$A:$A,DATE(2026,5,2)),"—")</f>
        <v/>
      </c>
      <c r="D10" s="120">
        <f>IFERROR(SUMIFS(Data!$G:$G,Data!$B:$B,"พระราม 3",Data!$A:$A,DATE(2026,5,3)),"—")</f>
        <v/>
      </c>
      <c r="E10" s="120">
        <f>IFERROR(SUMIFS(Data!$G:$G,Data!$B:$B,"พระราม 3",Data!$A:$A,DATE(2026,5,4)),"—")</f>
        <v/>
      </c>
      <c r="F10" s="120">
        <f>IFERROR(SUMIFS(Data!$G:$G,Data!$B:$B,"พระราม 3",Data!$A:$A,DATE(2026,5,5)),"—")</f>
        <v/>
      </c>
      <c r="G10" s="120">
        <f>IFERROR(SUMIFS(Data!$G:$G,Data!$B:$B,"พระราม 3",Data!$A:$A,DATE(2026,5,6)),"—")</f>
        <v/>
      </c>
      <c r="H10" s="120">
        <f>IFERROR(SUMIFS(Data!$G:$G,Data!$B:$B,"พระราม 3",Data!$A:$A,DATE(2026,5,7)),"—")</f>
        <v/>
      </c>
      <c r="I10" s="120">
        <f>IFERROR(SUMIFS(Data!$G:$G,Data!$B:$B,"พระราม 3",Data!$A:$A,DATE(2026,5,8)),"—")</f>
        <v/>
      </c>
      <c r="J10" s="120">
        <f>IFERROR(SUMIFS(Data!$G:$G,Data!$B:$B,"พระราม 3",Data!$A:$A,DATE(2026,5,9)),"—")</f>
        <v/>
      </c>
      <c r="K10" s="120">
        <f>IFERROR(SUMIFS(Data!$G:$G,Data!$B:$B,"พระราม 3",Data!$A:$A,DATE(2026,5,10)),"—")</f>
        <v/>
      </c>
      <c r="L10" s="120">
        <f>IFERROR(SUMIFS(Data!$G:$G,Data!$B:$B,"พระราม 3",Data!$A:$A,DATE(2026,5,11)),"—")</f>
        <v/>
      </c>
      <c r="M10" s="120">
        <f>IFERROR(SUMIFS(Data!$G:$G,Data!$B:$B,"พระราม 3",Data!$A:$A,DATE(2026,5,12)),"—")</f>
        <v/>
      </c>
      <c r="N10" s="120">
        <f>IFERROR(SUMIFS(Data!$G:$G,Data!$B:$B,"พระราม 3",Data!$A:$A,DATE(2026,5,13)),"—")</f>
        <v/>
      </c>
      <c r="O10" s="120">
        <f>IFERROR(SUMIFS(Data!$G:$G,Data!$B:$B,"พระราม 3",Data!$A:$A,DATE(2026,5,14)),"—")</f>
        <v/>
      </c>
      <c r="P10" s="120">
        <f>IFERROR(SUMIFS(Data!$G:$G,Data!$B:$B,"พระราม 3",Data!$A:$A,DATE(2026,5,15)),"—")</f>
        <v/>
      </c>
      <c r="Q10" s="120">
        <f>IFERROR(SUMIFS(Data!$G:$G,Data!$B:$B,"พระราม 3",Data!$A:$A,DATE(2026,5,16)),"—")</f>
        <v/>
      </c>
      <c r="R10" s="120">
        <f>IFERROR(SUMIFS(Data!$G:$G,Data!$B:$B,"พระราม 3",Data!$A:$A,DATE(2026,5,17)),"—")</f>
        <v/>
      </c>
      <c r="S10" s="120">
        <f>IFERROR(SUMIFS(Data!$G:$G,Data!$B:$B,"พระราม 3",Data!$A:$A,DATE(2026,5,18)),"—")</f>
        <v/>
      </c>
      <c r="T10" s="120">
        <f>IFERROR(SUMIFS(Data!$G:$G,Data!$B:$B,"พระราม 3",Data!$A:$A,DATE(2026,5,19)),"—")</f>
        <v/>
      </c>
      <c r="U10" s="120">
        <f>IFERROR(SUMIFS(Data!$G:$G,Data!$B:$B,"พระราม 3",Data!$A:$A,DATE(2026,5,20)),"—")</f>
        <v/>
      </c>
      <c r="V10" s="120">
        <f>IFERROR(SUMIFS(Data!$G:$G,Data!$B:$B,"พระราม 3",Data!$A:$A,DATE(2026,5,21)),"—")</f>
        <v/>
      </c>
      <c r="W10" s="120">
        <f>IFERROR(SUMIFS(Data!$G:$G,Data!$B:$B,"พระราม 3",Data!$A:$A,DATE(2026,5,22)),"—")</f>
        <v/>
      </c>
      <c r="X10" s="120">
        <f>IFERROR(SUMIFS(Data!$G:$G,Data!$B:$B,"พระราม 3",Data!$A:$A,DATE(2026,5,23)),"—")</f>
        <v/>
      </c>
      <c r="Y10" s="120">
        <f>IFERROR(SUMIFS(Data!$G:$G,Data!$B:$B,"พระราม 3",Data!$A:$A,DATE(2026,5,24)),"—")</f>
        <v/>
      </c>
      <c r="Z10" s="120">
        <f>IFERROR(SUMIFS(Data!$G:$G,Data!$B:$B,"พระราม 3",Data!$A:$A,DATE(2026,5,25)),"—")</f>
        <v/>
      </c>
      <c r="AA10" s="120">
        <f>IFERROR(SUMIFS(Data!$G:$G,Data!$B:$B,"พระราม 3",Data!$A:$A,DATE(2026,5,26)),"—")</f>
        <v/>
      </c>
      <c r="AB10" s="120">
        <f>IFERROR(SUMIFS(Data!$G:$G,Data!$B:$B,"พระราม 3",Data!$A:$A,DATE(2026,5,27)),"—")</f>
        <v/>
      </c>
      <c r="AC10" s="120">
        <f>IFERROR(SUMIFS(Data!$G:$G,Data!$B:$B,"พระราม 3",Data!$A:$A,DATE(2026,5,28)),"—")</f>
        <v/>
      </c>
      <c r="AD10" s="120">
        <f>IFERROR(SUMIFS(Data!$G:$G,Data!$B:$B,"พระราม 3",Data!$A:$A,DATE(2026,5,29)),"—")</f>
        <v/>
      </c>
      <c r="AE10" s="120">
        <f>IFERROR(SUMIFS(Data!$G:$G,Data!$B:$B,"พระราม 3",Data!$A:$A,DATE(2026,5,30)),"—")</f>
        <v/>
      </c>
      <c r="AF10" s="120">
        <f>IFERROR(SUMIFS(Data!$G:$G,Data!$B:$B,"พระราม 3",Data!$A:$A,DATE(2026,5,31)),"—")</f>
        <v/>
      </c>
      <c r="AG10" s="16">
        <f>IFERROR(SUM(B10:AF10),0)</f>
        <v/>
      </c>
      <c r="AH10" s="121">
        <f>IFERROR(AG10/AG15,0)</f>
        <v/>
      </c>
    </row>
    <row r="11" ht="21.75" customHeight="1" s="87">
      <c r="A11" s="18" t="inlineStr">
        <is>
          <t>แฟชั่น 3</t>
        </is>
      </c>
      <c r="B11" s="122">
        <f>IFERROR(SUMIFS(Data!$G:$G,Data!$B:$B,"แฟชั่น 3",Data!$A:$A,DATE(2026,5,1)),"—")</f>
        <v/>
      </c>
      <c r="C11" s="122">
        <f>IFERROR(SUMIFS(Data!$G:$G,Data!$B:$B,"แฟชั่น 3",Data!$A:$A,DATE(2026,5,2)),"—")</f>
        <v/>
      </c>
      <c r="D11" s="122">
        <f>IFERROR(SUMIFS(Data!$G:$G,Data!$B:$B,"แฟชั่น 3",Data!$A:$A,DATE(2026,5,3)),"—")</f>
        <v/>
      </c>
      <c r="E11" s="122">
        <f>IFERROR(SUMIFS(Data!$G:$G,Data!$B:$B,"แฟชั่น 3",Data!$A:$A,DATE(2026,5,4)),"—")</f>
        <v/>
      </c>
      <c r="F11" s="122">
        <f>IFERROR(SUMIFS(Data!$G:$G,Data!$B:$B,"แฟชั่น 3",Data!$A:$A,DATE(2026,5,5)),"—")</f>
        <v/>
      </c>
      <c r="G11" s="122">
        <f>IFERROR(SUMIFS(Data!$G:$G,Data!$B:$B,"แฟชั่น 3",Data!$A:$A,DATE(2026,5,6)),"—")</f>
        <v/>
      </c>
      <c r="H11" s="122">
        <f>IFERROR(SUMIFS(Data!$G:$G,Data!$B:$B,"แฟชั่น 3",Data!$A:$A,DATE(2026,5,7)),"—")</f>
        <v/>
      </c>
      <c r="I11" s="122">
        <f>IFERROR(SUMIFS(Data!$G:$G,Data!$B:$B,"แฟชั่น 3",Data!$A:$A,DATE(2026,5,8)),"—")</f>
        <v/>
      </c>
      <c r="J11" s="122">
        <f>IFERROR(SUMIFS(Data!$G:$G,Data!$B:$B,"แฟชั่น 3",Data!$A:$A,DATE(2026,5,9)),"—")</f>
        <v/>
      </c>
      <c r="K11" s="122">
        <f>IFERROR(SUMIFS(Data!$G:$G,Data!$B:$B,"แฟชั่น 3",Data!$A:$A,DATE(2026,5,10)),"—")</f>
        <v/>
      </c>
      <c r="L11" s="122">
        <f>IFERROR(SUMIFS(Data!$G:$G,Data!$B:$B,"แฟชั่น 3",Data!$A:$A,DATE(2026,5,11)),"—")</f>
        <v/>
      </c>
      <c r="M11" s="122">
        <f>IFERROR(SUMIFS(Data!$G:$G,Data!$B:$B,"แฟชั่น 3",Data!$A:$A,DATE(2026,5,12)),"—")</f>
        <v/>
      </c>
      <c r="N11" s="122">
        <f>IFERROR(SUMIFS(Data!$G:$G,Data!$B:$B,"แฟชั่น 3",Data!$A:$A,DATE(2026,5,13)),"—")</f>
        <v/>
      </c>
      <c r="O11" s="122">
        <f>IFERROR(SUMIFS(Data!$G:$G,Data!$B:$B,"แฟชั่น 3",Data!$A:$A,DATE(2026,5,14)),"—")</f>
        <v/>
      </c>
      <c r="P11" s="122">
        <f>IFERROR(SUMIFS(Data!$G:$G,Data!$B:$B,"แฟชั่น 3",Data!$A:$A,DATE(2026,5,15)),"—")</f>
        <v/>
      </c>
      <c r="Q11" s="122">
        <f>IFERROR(SUMIFS(Data!$G:$G,Data!$B:$B,"แฟชั่น 3",Data!$A:$A,DATE(2026,5,16)),"—")</f>
        <v/>
      </c>
      <c r="R11" s="122">
        <f>IFERROR(SUMIFS(Data!$G:$G,Data!$B:$B,"แฟชั่น 3",Data!$A:$A,DATE(2026,5,17)),"—")</f>
        <v/>
      </c>
      <c r="S11" s="122">
        <f>IFERROR(SUMIFS(Data!$G:$G,Data!$B:$B,"แฟชั่น 3",Data!$A:$A,DATE(2026,5,18)),"—")</f>
        <v/>
      </c>
      <c r="T11" s="122">
        <f>IFERROR(SUMIFS(Data!$G:$G,Data!$B:$B,"แฟชั่น 3",Data!$A:$A,DATE(2026,5,19)),"—")</f>
        <v/>
      </c>
      <c r="U11" s="122">
        <f>IFERROR(SUMIFS(Data!$G:$G,Data!$B:$B,"แฟชั่น 3",Data!$A:$A,DATE(2026,5,20)),"—")</f>
        <v/>
      </c>
      <c r="V11" s="122">
        <f>IFERROR(SUMIFS(Data!$G:$G,Data!$B:$B,"แฟชั่น 3",Data!$A:$A,DATE(2026,5,21)),"—")</f>
        <v/>
      </c>
      <c r="W11" s="122">
        <f>IFERROR(SUMIFS(Data!$G:$G,Data!$B:$B,"แฟชั่น 3",Data!$A:$A,DATE(2026,5,22)),"—")</f>
        <v/>
      </c>
      <c r="X11" s="122">
        <f>IFERROR(SUMIFS(Data!$G:$G,Data!$B:$B,"แฟชั่น 3",Data!$A:$A,DATE(2026,5,23)),"—")</f>
        <v/>
      </c>
      <c r="Y11" s="122">
        <f>IFERROR(SUMIFS(Data!$G:$G,Data!$B:$B,"แฟชั่น 3",Data!$A:$A,DATE(2026,5,24)),"—")</f>
        <v/>
      </c>
      <c r="Z11" s="122">
        <f>IFERROR(SUMIFS(Data!$G:$G,Data!$B:$B,"แฟชั่น 3",Data!$A:$A,DATE(2026,5,25)),"—")</f>
        <v/>
      </c>
      <c r="AA11" s="122">
        <f>IFERROR(SUMIFS(Data!$G:$G,Data!$B:$B,"แฟชั่น 3",Data!$A:$A,DATE(2026,5,26)),"—")</f>
        <v/>
      </c>
      <c r="AB11" s="122">
        <f>IFERROR(SUMIFS(Data!$G:$G,Data!$B:$B,"แฟชั่น 3",Data!$A:$A,DATE(2026,5,27)),"—")</f>
        <v/>
      </c>
      <c r="AC11" s="122">
        <f>IFERROR(SUMIFS(Data!$G:$G,Data!$B:$B,"แฟชั่น 3",Data!$A:$A,DATE(2026,5,28)),"—")</f>
        <v/>
      </c>
      <c r="AD11" s="122">
        <f>IFERROR(SUMIFS(Data!$G:$G,Data!$B:$B,"แฟชั่น 3",Data!$A:$A,DATE(2026,5,29)),"—")</f>
        <v/>
      </c>
      <c r="AE11" s="122">
        <f>IFERROR(SUMIFS(Data!$G:$G,Data!$B:$B,"แฟชั่น 3",Data!$A:$A,DATE(2026,5,30)),"—")</f>
        <v/>
      </c>
      <c r="AF11" s="122">
        <f>IFERROR(SUMIFS(Data!$G:$G,Data!$B:$B,"แฟชั่น 3",Data!$A:$A,DATE(2026,5,31)),"—")</f>
        <v/>
      </c>
      <c r="AG11" s="20">
        <f>IFERROR(SUM(B11:AF11),0)</f>
        <v/>
      </c>
      <c r="AH11" s="123">
        <f>IFERROR(AG11/AG15,0)</f>
        <v/>
      </c>
    </row>
    <row r="12" ht="21.75" customHeight="1" s="87">
      <c r="A12" s="22" t="inlineStr">
        <is>
          <t>แฟชั่น B</t>
        </is>
      </c>
      <c r="B12" s="124">
        <f>IFERROR(SUMIFS(Data!$G:$G,Data!$B:$B,"แฟชั่น B",Data!$A:$A,DATE(2026,5,1)),"—")</f>
        <v/>
      </c>
      <c r="C12" s="124">
        <f>IFERROR(SUMIFS(Data!$G:$G,Data!$B:$B,"แฟชั่น B",Data!$A:$A,DATE(2026,5,2)),"—")</f>
        <v/>
      </c>
      <c r="D12" s="124">
        <f>IFERROR(SUMIFS(Data!$G:$G,Data!$B:$B,"แฟชั่น B",Data!$A:$A,DATE(2026,5,3)),"—")</f>
        <v/>
      </c>
      <c r="E12" s="124">
        <f>IFERROR(SUMIFS(Data!$G:$G,Data!$B:$B,"แฟชั่น B",Data!$A:$A,DATE(2026,5,4)),"—")</f>
        <v/>
      </c>
      <c r="F12" s="124">
        <f>IFERROR(SUMIFS(Data!$G:$G,Data!$B:$B,"แฟชั่น B",Data!$A:$A,DATE(2026,5,5)),"—")</f>
        <v/>
      </c>
      <c r="G12" s="124">
        <f>IFERROR(SUMIFS(Data!$G:$G,Data!$B:$B,"แฟชั่น B",Data!$A:$A,DATE(2026,5,6)),"—")</f>
        <v/>
      </c>
      <c r="H12" s="124">
        <f>IFERROR(SUMIFS(Data!$G:$G,Data!$B:$B,"แฟชั่น B",Data!$A:$A,DATE(2026,5,7)),"—")</f>
        <v/>
      </c>
      <c r="I12" s="124">
        <f>IFERROR(SUMIFS(Data!$G:$G,Data!$B:$B,"แฟชั่น B",Data!$A:$A,DATE(2026,5,8)),"—")</f>
        <v/>
      </c>
      <c r="J12" s="124">
        <f>IFERROR(SUMIFS(Data!$G:$G,Data!$B:$B,"แฟชั่น B",Data!$A:$A,DATE(2026,5,9)),"—")</f>
        <v/>
      </c>
      <c r="K12" s="124">
        <f>IFERROR(SUMIFS(Data!$G:$G,Data!$B:$B,"แฟชั่น B",Data!$A:$A,DATE(2026,5,10)),"—")</f>
        <v/>
      </c>
      <c r="L12" s="124">
        <f>IFERROR(SUMIFS(Data!$G:$G,Data!$B:$B,"แฟชั่น B",Data!$A:$A,DATE(2026,5,11)),"—")</f>
        <v/>
      </c>
      <c r="M12" s="124">
        <f>IFERROR(SUMIFS(Data!$G:$G,Data!$B:$B,"แฟชั่น B",Data!$A:$A,DATE(2026,5,12)),"—")</f>
        <v/>
      </c>
      <c r="N12" s="124">
        <f>IFERROR(SUMIFS(Data!$G:$G,Data!$B:$B,"แฟชั่น B",Data!$A:$A,DATE(2026,5,13)),"—")</f>
        <v/>
      </c>
      <c r="O12" s="124">
        <f>IFERROR(SUMIFS(Data!$G:$G,Data!$B:$B,"แฟชั่น B",Data!$A:$A,DATE(2026,5,14)),"—")</f>
        <v/>
      </c>
      <c r="P12" s="124">
        <f>IFERROR(SUMIFS(Data!$G:$G,Data!$B:$B,"แฟชั่น B",Data!$A:$A,DATE(2026,5,15)),"—")</f>
        <v/>
      </c>
      <c r="Q12" s="124">
        <f>IFERROR(SUMIFS(Data!$G:$G,Data!$B:$B,"แฟชั่น B",Data!$A:$A,DATE(2026,5,16)),"—")</f>
        <v/>
      </c>
      <c r="R12" s="124">
        <f>IFERROR(SUMIFS(Data!$G:$G,Data!$B:$B,"แฟชั่น B",Data!$A:$A,DATE(2026,5,17)),"—")</f>
        <v/>
      </c>
      <c r="S12" s="124">
        <f>IFERROR(SUMIFS(Data!$G:$G,Data!$B:$B,"แฟชั่น B",Data!$A:$A,DATE(2026,5,18)),"—")</f>
        <v/>
      </c>
      <c r="T12" s="124">
        <f>IFERROR(SUMIFS(Data!$G:$G,Data!$B:$B,"แฟชั่น B",Data!$A:$A,DATE(2026,5,19)),"—")</f>
        <v/>
      </c>
      <c r="U12" s="124">
        <f>IFERROR(SUMIFS(Data!$G:$G,Data!$B:$B,"แฟชั่น B",Data!$A:$A,DATE(2026,5,20)),"—")</f>
        <v/>
      </c>
      <c r="V12" s="124">
        <f>IFERROR(SUMIFS(Data!$G:$G,Data!$B:$B,"แฟชั่น B",Data!$A:$A,DATE(2026,5,21)),"—")</f>
        <v/>
      </c>
      <c r="W12" s="124">
        <f>IFERROR(SUMIFS(Data!$G:$G,Data!$B:$B,"แฟชั่น B",Data!$A:$A,DATE(2026,5,22)),"—")</f>
        <v/>
      </c>
      <c r="X12" s="124">
        <f>IFERROR(SUMIFS(Data!$G:$G,Data!$B:$B,"แฟชั่น B",Data!$A:$A,DATE(2026,5,23)),"—")</f>
        <v/>
      </c>
      <c r="Y12" s="124">
        <f>IFERROR(SUMIFS(Data!$G:$G,Data!$B:$B,"แฟชั่น B",Data!$A:$A,DATE(2026,5,24)),"—")</f>
        <v/>
      </c>
      <c r="Z12" s="124">
        <f>IFERROR(SUMIFS(Data!$G:$G,Data!$B:$B,"แฟชั่น B",Data!$A:$A,DATE(2026,5,25)),"—")</f>
        <v/>
      </c>
      <c r="AA12" s="124">
        <f>IFERROR(SUMIFS(Data!$G:$G,Data!$B:$B,"แฟชั่น B",Data!$A:$A,DATE(2026,5,26)),"—")</f>
        <v/>
      </c>
      <c r="AB12" s="124">
        <f>IFERROR(SUMIFS(Data!$G:$G,Data!$B:$B,"แฟชั่น B",Data!$A:$A,DATE(2026,5,27)),"—")</f>
        <v/>
      </c>
      <c r="AC12" s="124">
        <f>IFERROR(SUMIFS(Data!$G:$G,Data!$B:$B,"แฟชั่น B",Data!$A:$A,DATE(2026,5,28)),"—")</f>
        <v/>
      </c>
      <c r="AD12" s="124">
        <f>IFERROR(SUMIFS(Data!$G:$G,Data!$B:$B,"แฟชั่น B",Data!$A:$A,DATE(2026,5,29)),"—")</f>
        <v/>
      </c>
      <c r="AE12" s="124">
        <f>IFERROR(SUMIFS(Data!$G:$G,Data!$B:$B,"แฟชั่น B",Data!$A:$A,DATE(2026,5,30)),"—")</f>
        <v/>
      </c>
      <c r="AF12" s="124">
        <f>IFERROR(SUMIFS(Data!$G:$G,Data!$B:$B,"แฟชั่น B",Data!$A:$A,DATE(2026,5,31)),"—")</f>
        <v/>
      </c>
      <c r="AG12" s="24">
        <f>IFERROR(SUM(B12:AF12),0)</f>
        <v/>
      </c>
      <c r="AH12" s="125">
        <f>IFERROR(AG12/AG15,0)</f>
        <v/>
      </c>
    </row>
    <row r="13" ht="21.75" customHeight="1" s="87">
      <c r="A13" s="26" t="inlineStr">
        <is>
          <t>เอสพลานาด</t>
        </is>
      </c>
      <c r="B13" s="126">
        <f>IFERROR(SUMIFS(Data!$G:$G,Data!$B:$B,"เอสพลานาด",Data!$A:$A,DATE(2026,5,1)),"—")</f>
        <v/>
      </c>
      <c r="C13" s="126">
        <f>IFERROR(SUMIFS(Data!$G:$G,Data!$B:$B,"เอสพลานาด",Data!$A:$A,DATE(2026,5,2)),"—")</f>
        <v/>
      </c>
      <c r="D13" s="126">
        <f>IFERROR(SUMIFS(Data!$G:$G,Data!$B:$B,"เอสพลานาด",Data!$A:$A,DATE(2026,5,3)),"—")</f>
        <v/>
      </c>
      <c r="E13" s="126">
        <f>IFERROR(SUMIFS(Data!$G:$G,Data!$B:$B,"เอสพลานาด",Data!$A:$A,DATE(2026,5,4)),"—")</f>
        <v/>
      </c>
      <c r="F13" s="126">
        <f>IFERROR(SUMIFS(Data!$G:$G,Data!$B:$B,"เอสพลานาด",Data!$A:$A,DATE(2026,5,5)),"—")</f>
        <v/>
      </c>
      <c r="G13" s="126">
        <f>IFERROR(SUMIFS(Data!$G:$G,Data!$B:$B,"เอสพลานาด",Data!$A:$A,DATE(2026,5,6)),"—")</f>
        <v/>
      </c>
      <c r="H13" s="126">
        <f>IFERROR(SUMIFS(Data!$G:$G,Data!$B:$B,"เอสพลานาด",Data!$A:$A,DATE(2026,5,7)),"—")</f>
        <v/>
      </c>
      <c r="I13" s="126">
        <f>IFERROR(SUMIFS(Data!$G:$G,Data!$B:$B,"เอสพลานาด",Data!$A:$A,DATE(2026,5,8)),"—")</f>
        <v/>
      </c>
      <c r="J13" s="126">
        <f>IFERROR(SUMIFS(Data!$G:$G,Data!$B:$B,"เอสพลานาด",Data!$A:$A,DATE(2026,5,9)),"—")</f>
        <v/>
      </c>
      <c r="K13" s="126">
        <f>IFERROR(SUMIFS(Data!$G:$G,Data!$B:$B,"เอสพลานาด",Data!$A:$A,DATE(2026,5,10)),"—")</f>
        <v/>
      </c>
      <c r="L13" s="126">
        <f>IFERROR(SUMIFS(Data!$G:$G,Data!$B:$B,"เอสพลานาด",Data!$A:$A,DATE(2026,5,11)),"—")</f>
        <v/>
      </c>
      <c r="M13" s="126">
        <f>IFERROR(SUMIFS(Data!$G:$G,Data!$B:$B,"เอสพลานาด",Data!$A:$A,DATE(2026,5,12)),"—")</f>
        <v/>
      </c>
      <c r="N13" s="126">
        <f>IFERROR(SUMIFS(Data!$G:$G,Data!$B:$B,"เอสพลานาด",Data!$A:$A,DATE(2026,5,13)),"—")</f>
        <v/>
      </c>
      <c r="O13" s="126">
        <f>IFERROR(SUMIFS(Data!$G:$G,Data!$B:$B,"เอสพลานาด",Data!$A:$A,DATE(2026,5,14)),"—")</f>
        <v/>
      </c>
      <c r="P13" s="126">
        <f>IFERROR(SUMIFS(Data!$G:$G,Data!$B:$B,"เอสพลานาด",Data!$A:$A,DATE(2026,5,15)),"—")</f>
        <v/>
      </c>
      <c r="Q13" s="126">
        <f>IFERROR(SUMIFS(Data!$G:$G,Data!$B:$B,"เอสพลานาด",Data!$A:$A,DATE(2026,5,16)),"—")</f>
        <v/>
      </c>
      <c r="R13" s="126">
        <f>IFERROR(SUMIFS(Data!$G:$G,Data!$B:$B,"เอสพลานาด",Data!$A:$A,DATE(2026,5,17)),"—")</f>
        <v/>
      </c>
      <c r="S13" s="126">
        <f>IFERROR(SUMIFS(Data!$G:$G,Data!$B:$B,"เอสพลานาด",Data!$A:$A,DATE(2026,5,18)),"—")</f>
        <v/>
      </c>
      <c r="T13" s="126">
        <f>IFERROR(SUMIFS(Data!$G:$G,Data!$B:$B,"เอสพลานาด",Data!$A:$A,DATE(2026,5,19)),"—")</f>
        <v/>
      </c>
      <c r="U13" s="126">
        <f>IFERROR(SUMIFS(Data!$G:$G,Data!$B:$B,"เอสพลานาด",Data!$A:$A,DATE(2026,5,20)),"—")</f>
        <v/>
      </c>
      <c r="V13" s="126">
        <f>IFERROR(SUMIFS(Data!$G:$G,Data!$B:$B,"เอสพลานาด",Data!$A:$A,DATE(2026,5,21)),"—")</f>
        <v/>
      </c>
      <c r="W13" s="126">
        <f>IFERROR(SUMIFS(Data!$G:$G,Data!$B:$B,"เอสพลานาด",Data!$A:$A,DATE(2026,5,22)),"—")</f>
        <v/>
      </c>
      <c r="X13" s="126">
        <f>IFERROR(SUMIFS(Data!$G:$G,Data!$B:$B,"เอสพลานาด",Data!$A:$A,DATE(2026,5,23)),"—")</f>
        <v/>
      </c>
      <c r="Y13" s="126">
        <f>IFERROR(SUMIFS(Data!$G:$G,Data!$B:$B,"เอสพลานาด",Data!$A:$A,DATE(2026,5,24)),"—")</f>
        <v/>
      </c>
      <c r="Z13" s="126">
        <f>IFERROR(SUMIFS(Data!$G:$G,Data!$B:$B,"เอสพลานาด",Data!$A:$A,DATE(2026,5,25)),"—")</f>
        <v/>
      </c>
      <c r="AA13" s="126">
        <f>IFERROR(SUMIFS(Data!$G:$G,Data!$B:$B,"เอสพลานาด",Data!$A:$A,DATE(2026,5,26)),"—")</f>
        <v/>
      </c>
      <c r="AB13" s="126">
        <f>IFERROR(SUMIFS(Data!$G:$G,Data!$B:$B,"เอสพลานาด",Data!$A:$A,DATE(2026,5,27)),"—")</f>
        <v/>
      </c>
      <c r="AC13" s="126">
        <f>IFERROR(SUMIFS(Data!$G:$G,Data!$B:$B,"เอสพลานาด",Data!$A:$A,DATE(2026,5,28)),"—")</f>
        <v/>
      </c>
      <c r="AD13" s="126">
        <f>IFERROR(SUMIFS(Data!$G:$G,Data!$B:$B,"เอสพลานาด",Data!$A:$A,DATE(2026,5,29)),"—")</f>
        <v/>
      </c>
      <c r="AE13" s="126">
        <f>IFERROR(SUMIFS(Data!$G:$G,Data!$B:$B,"เอสพลานาด",Data!$A:$A,DATE(2026,5,30)),"—")</f>
        <v/>
      </c>
      <c r="AF13" s="126">
        <f>IFERROR(SUMIFS(Data!$G:$G,Data!$B:$B,"เอสพลานาด",Data!$A:$A,DATE(2026,5,31)),"—")</f>
        <v/>
      </c>
      <c r="AG13" s="28">
        <f>IFERROR(SUM(B13:AF13),0)</f>
        <v/>
      </c>
      <c r="AH13" s="127">
        <f>IFERROR(AG13/AG15,0)</f>
        <v/>
      </c>
    </row>
    <row r="14" ht="21.75" customHeight="1" s="87">
      <c r="A14" s="30" t="inlineStr">
        <is>
          <t>ขายเงินสด</t>
        </is>
      </c>
      <c r="B14" s="128">
        <f>IFERROR(SUMIFS(Data!$G:$G,Data!$B:$B,"ขายเงินสด",Data!$A:$A,DATE(2026,5,1)),"—")</f>
        <v/>
      </c>
      <c r="C14" s="128">
        <f>IFERROR(SUMIFS(Data!$G:$G,Data!$B:$B,"ขายเงินสด",Data!$A:$A,DATE(2026,5,2)),"—")</f>
        <v/>
      </c>
      <c r="D14" s="128">
        <f>IFERROR(SUMIFS(Data!$G:$G,Data!$B:$B,"ขายเงินสด",Data!$A:$A,DATE(2026,5,3)),"—")</f>
        <v/>
      </c>
      <c r="E14" s="128">
        <f>IFERROR(SUMIFS(Data!$G:$G,Data!$B:$B,"ขายเงินสด",Data!$A:$A,DATE(2026,5,4)),"—")</f>
        <v/>
      </c>
      <c r="F14" s="128">
        <f>IFERROR(SUMIFS(Data!$G:$G,Data!$B:$B,"ขายเงินสด",Data!$A:$A,DATE(2026,5,5)),"—")</f>
        <v/>
      </c>
      <c r="G14" s="128">
        <f>IFERROR(SUMIFS(Data!$G:$G,Data!$B:$B,"ขายเงินสด",Data!$A:$A,DATE(2026,5,6)),"—")</f>
        <v/>
      </c>
      <c r="H14" s="128">
        <f>IFERROR(SUMIFS(Data!$G:$G,Data!$B:$B,"ขายเงินสด",Data!$A:$A,DATE(2026,5,7)),"—")</f>
        <v/>
      </c>
      <c r="I14" s="128">
        <f>IFERROR(SUMIFS(Data!$G:$G,Data!$B:$B,"ขายเงินสด",Data!$A:$A,DATE(2026,5,8)),"—")</f>
        <v/>
      </c>
      <c r="J14" s="128">
        <f>IFERROR(SUMIFS(Data!$G:$G,Data!$B:$B,"ขายเงินสด",Data!$A:$A,DATE(2026,5,9)),"—")</f>
        <v/>
      </c>
      <c r="K14" s="128">
        <f>IFERROR(SUMIFS(Data!$G:$G,Data!$B:$B,"ขายเงินสด",Data!$A:$A,DATE(2026,5,10)),"—")</f>
        <v/>
      </c>
      <c r="L14" s="128">
        <f>IFERROR(SUMIFS(Data!$G:$G,Data!$B:$B,"ขายเงินสด",Data!$A:$A,DATE(2026,5,11)),"—")</f>
        <v/>
      </c>
      <c r="M14" s="128">
        <f>IFERROR(SUMIFS(Data!$G:$G,Data!$B:$B,"ขายเงินสด",Data!$A:$A,DATE(2026,5,12)),"—")</f>
        <v/>
      </c>
      <c r="N14" s="128">
        <f>IFERROR(SUMIFS(Data!$G:$G,Data!$B:$B,"ขายเงินสด",Data!$A:$A,DATE(2026,5,13)),"—")</f>
        <v/>
      </c>
      <c r="O14" s="128">
        <f>IFERROR(SUMIFS(Data!$G:$G,Data!$B:$B,"ขายเงินสด",Data!$A:$A,DATE(2026,5,14)),"—")</f>
        <v/>
      </c>
      <c r="P14" s="128">
        <f>IFERROR(SUMIFS(Data!$G:$G,Data!$B:$B,"ขายเงินสด",Data!$A:$A,DATE(2026,5,15)),"—")</f>
        <v/>
      </c>
      <c r="Q14" s="128">
        <f>IFERROR(SUMIFS(Data!$G:$G,Data!$B:$B,"ขายเงินสด",Data!$A:$A,DATE(2026,5,16)),"—")</f>
        <v/>
      </c>
      <c r="R14" s="128">
        <f>IFERROR(SUMIFS(Data!$G:$G,Data!$B:$B,"ขายเงินสด",Data!$A:$A,DATE(2026,5,17)),"—")</f>
        <v/>
      </c>
      <c r="S14" s="128">
        <f>IFERROR(SUMIFS(Data!$G:$G,Data!$B:$B,"ขายเงินสด",Data!$A:$A,DATE(2026,5,18)),"—")</f>
        <v/>
      </c>
      <c r="T14" s="128">
        <f>IFERROR(SUMIFS(Data!$G:$G,Data!$B:$B,"ขายเงินสด",Data!$A:$A,DATE(2026,5,19)),"—")</f>
        <v/>
      </c>
      <c r="U14" s="128">
        <f>IFERROR(SUMIFS(Data!$G:$G,Data!$B:$B,"ขายเงินสด",Data!$A:$A,DATE(2026,5,20)),"—")</f>
        <v/>
      </c>
      <c r="V14" s="128">
        <f>IFERROR(SUMIFS(Data!$G:$G,Data!$B:$B,"ขายเงินสด",Data!$A:$A,DATE(2026,5,21)),"—")</f>
        <v/>
      </c>
      <c r="W14" s="128">
        <f>IFERROR(SUMIFS(Data!$G:$G,Data!$B:$B,"ขายเงินสด",Data!$A:$A,DATE(2026,5,22)),"—")</f>
        <v/>
      </c>
      <c r="X14" s="128">
        <f>IFERROR(SUMIFS(Data!$G:$G,Data!$B:$B,"ขายเงินสด",Data!$A:$A,DATE(2026,5,23)),"—")</f>
        <v/>
      </c>
      <c r="Y14" s="128">
        <f>IFERROR(SUMIFS(Data!$G:$G,Data!$B:$B,"ขายเงินสด",Data!$A:$A,DATE(2026,5,24)),"—")</f>
        <v/>
      </c>
      <c r="Z14" s="128">
        <f>IFERROR(SUMIFS(Data!$G:$G,Data!$B:$B,"ขายเงินสด",Data!$A:$A,DATE(2026,5,25)),"—")</f>
        <v/>
      </c>
      <c r="AA14" s="128">
        <f>IFERROR(SUMIFS(Data!$G:$G,Data!$B:$B,"ขายเงินสด",Data!$A:$A,DATE(2026,5,26)),"—")</f>
        <v/>
      </c>
      <c r="AB14" s="128">
        <f>IFERROR(SUMIFS(Data!$G:$G,Data!$B:$B,"ขายเงินสด",Data!$A:$A,DATE(2026,5,27)),"—")</f>
        <v/>
      </c>
      <c r="AC14" s="128">
        <f>IFERROR(SUMIFS(Data!$G:$G,Data!$B:$B,"ขายเงินสด",Data!$A:$A,DATE(2026,5,28)),"—")</f>
        <v/>
      </c>
      <c r="AD14" s="128">
        <f>IFERROR(SUMIFS(Data!$G:$G,Data!$B:$B,"ขายเงินสด",Data!$A:$A,DATE(2026,5,29)),"—")</f>
        <v/>
      </c>
      <c r="AE14" s="128">
        <f>IFERROR(SUMIFS(Data!$G:$G,Data!$B:$B,"ขายเงินสด",Data!$A:$A,DATE(2026,5,30)),"—")</f>
        <v/>
      </c>
      <c r="AF14" s="128">
        <f>IFERROR(SUMIFS(Data!$G:$G,Data!$B:$B,"ขายเงินสด",Data!$A:$A,DATE(2026,5,31)),"—")</f>
        <v/>
      </c>
      <c r="AG14" s="32">
        <f>IFERROR(SUM(B14:AF14),0)</f>
        <v/>
      </c>
      <c r="AH14" s="129">
        <f>IFERROR(AG14/AG15,0)</f>
        <v/>
      </c>
    </row>
    <row r="15" ht="24" customHeight="1" s="87">
      <c r="A15" s="34" t="inlineStr">
        <is>
          <t>รวมทุกสาขา</t>
        </is>
      </c>
      <c r="B15" s="35">
        <f>IFERROR(SUM(B9:B14),0)</f>
        <v/>
      </c>
      <c r="C15" s="35">
        <f>IFERROR(SUM(C9:C14),0)</f>
        <v/>
      </c>
      <c r="D15" s="35">
        <f>IFERROR(SUM(D9:D14),0)</f>
        <v/>
      </c>
      <c r="E15" s="35">
        <f>IFERROR(SUM(E9:E14),0)</f>
        <v/>
      </c>
      <c r="F15" s="35">
        <f>IFERROR(SUM(F9:F14),0)</f>
        <v/>
      </c>
      <c r="G15" s="35">
        <f>IFERROR(SUM(G9:G14),0)</f>
        <v/>
      </c>
      <c r="H15" s="35">
        <f>IFERROR(SUM(H9:H14),0)</f>
        <v/>
      </c>
      <c r="I15" s="35">
        <f>IFERROR(SUM(I9:I14),0)</f>
        <v/>
      </c>
      <c r="J15" s="35">
        <f>IFERROR(SUM(J9:J14),0)</f>
        <v/>
      </c>
      <c r="K15" s="35">
        <f>IFERROR(SUM(K9:K14),0)</f>
        <v/>
      </c>
      <c r="L15" s="35">
        <f>IFERROR(SUM(L9:L14),0)</f>
        <v/>
      </c>
      <c r="M15" s="35">
        <f>IFERROR(SUM(M9:M14),0)</f>
        <v/>
      </c>
      <c r="N15" s="35">
        <f>IFERROR(SUM(N9:N14),0)</f>
        <v/>
      </c>
      <c r="O15" s="35">
        <f>IFERROR(SUM(O9:O14),0)</f>
        <v/>
      </c>
      <c r="P15" s="35">
        <f>IFERROR(SUM(P9:P14),0)</f>
        <v/>
      </c>
      <c r="Q15" s="35">
        <f>IFERROR(SUM(Q9:Q14),0)</f>
        <v/>
      </c>
      <c r="R15" s="35">
        <f>IFERROR(SUM(R9:R14),0)</f>
        <v/>
      </c>
      <c r="S15" s="35">
        <f>IFERROR(SUM(S9:S14),0)</f>
        <v/>
      </c>
      <c r="T15" s="35">
        <f>IFERROR(SUM(T9:T14),0)</f>
        <v/>
      </c>
      <c r="U15" s="35">
        <f>IFERROR(SUM(U9:U14),0)</f>
        <v/>
      </c>
      <c r="V15" s="35">
        <f>IFERROR(SUM(V9:V14),0)</f>
        <v/>
      </c>
      <c r="W15" s="35">
        <f>IFERROR(SUM(W9:W14),0)</f>
        <v/>
      </c>
      <c r="X15" s="35">
        <f>IFERROR(SUM(X9:X14),0)</f>
        <v/>
      </c>
      <c r="Y15" s="35">
        <f>IFERROR(SUM(Y9:Y14),0)</f>
        <v/>
      </c>
      <c r="Z15" s="35">
        <f>IFERROR(SUM(Z9:Z14),0)</f>
        <v/>
      </c>
      <c r="AA15" s="35">
        <f>IFERROR(SUM(AA9:AA14),0)</f>
        <v/>
      </c>
      <c r="AB15" s="35">
        <f>IFERROR(SUM(AB9:AB14),0)</f>
        <v/>
      </c>
      <c r="AC15" s="35">
        <f>IFERROR(SUM(AC9:AC14),0)</f>
        <v/>
      </c>
      <c r="AD15" s="35">
        <f>IFERROR(SUM(AD9:AD14),0)</f>
        <v/>
      </c>
      <c r="AE15" s="35">
        <f>IFERROR(SUM(AE9:AE14),0)</f>
        <v/>
      </c>
      <c r="AF15" s="35">
        <f>IFERROR(SUM(AF9:AF14),0)</f>
        <v/>
      </c>
      <c r="AG15" s="35">
        <f>IFERROR(SUM(AG9:AG14),0)</f>
        <v/>
      </c>
      <c r="AH15" s="36" t="inlineStr">
        <is>
          <t>100.0%</t>
        </is>
      </c>
    </row>
    <row r="16" ht="6" customHeight="1" s="87"/>
    <row r="17" ht="22" customHeight="1" s="87">
      <c r="A17" s="95" t="inlineStr">
        <is>
          <t xml:space="preserve"> 💰  ยอดรับเงิน (งวด 1–15 / 16–31)</t>
        </is>
      </c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7" t="n"/>
    </row>
    <row r="18" ht="20" customHeight="1" s="87">
      <c r="A18" s="37" t="inlineStr">
        <is>
          <t>สาขา</t>
        </is>
      </c>
      <c r="B18" s="37" t="inlineStr">
        <is>
          <t>ยอดขาย 1-15</t>
        </is>
      </c>
      <c r="C18" s="37" t="inlineStr">
        <is>
          <t>ยอดรับ 1-15</t>
        </is>
      </c>
      <c r="D18" s="37" t="inlineStr">
        <is>
          <t>ยอดขาย 16-31</t>
        </is>
      </c>
      <c r="E18" s="37" t="inlineStr">
        <is>
          <t>ยอดรับ 16-31</t>
        </is>
      </c>
      <c r="F18" s="37" t="inlineStr">
        <is>
          <t>ยอดขายรวม</t>
        </is>
      </c>
      <c r="G18" s="37" t="inlineStr">
        <is>
          <t>ยอดรับรวม</t>
        </is>
      </c>
    </row>
    <row r="19" ht="20" customHeight="1" s="87">
      <c r="A19" s="10" t="inlineStr">
        <is>
          <t>อโศก</t>
        </is>
      </c>
      <c r="B19" s="38">
        <f>IFERROR(SUMIFS(Data!$G:$G,Data!$B:$B,"อโศก",Data!$A:$A,"&gt;="&amp;DATE(2026,5,1),Data!$A:$A,"&lt;="&amp;DATE(2026,5,15)),0)</f>
        <v/>
      </c>
      <c r="C19" s="12">
        <f>B19*0.9803738318</f>
        <v/>
      </c>
      <c r="D19" s="38">
        <f>IFERROR(SUMIFS(Data!$G:$G,Data!$B:$B,"อโศก",Data!$A:$A,"&gt;="&amp;DATE(2026,5,16),Data!$A:$A,"&lt;="&amp;DATE(2026,5,31)),0)</f>
        <v/>
      </c>
      <c r="E19" s="12">
        <f>D19*0.9803738318</f>
        <v/>
      </c>
      <c r="F19" s="38">
        <f>B19+D19</f>
        <v/>
      </c>
      <c r="G19" s="12">
        <f>C19+E19</f>
        <v/>
      </c>
    </row>
    <row r="20" ht="20" customHeight="1" s="87">
      <c r="A20" s="14" t="inlineStr">
        <is>
          <t>พระราม 3</t>
        </is>
      </c>
      <c r="B20" s="39">
        <f>IFERROR(SUMIFS(Data!$G:$G,Data!$B:$B,"พระราม 3",Data!$A:$A,"&gt;="&amp;DATE(2026,5,1),Data!$A:$A,"&lt;="&amp;DATE(2026,5,15)),0)</f>
        <v/>
      </c>
      <c r="C20" s="16">
        <f>B20*0.9803738318</f>
        <v/>
      </c>
      <c r="D20" s="39">
        <f>IFERROR(SUMIFS(Data!$G:$G,Data!$B:$B,"พระราม 3",Data!$A:$A,"&gt;="&amp;DATE(2026,5,16),Data!$A:$A,"&lt;="&amp;DATE(2026,5,31)),0)</f>
        <v/>
      </c>
      <c r="E20" s="16">
        <f>D20*0.9803738318</f>
        <v/>
      </c>
      <c r="F20" s="39">
        <f>B20+D20</f>
        <v/>
      </c>
      <c r="G20" s="16">
        <f>C20+E20</f>
        <v/>
      </c>
    </row>
    <row r="21" ht="20" customHeight="1" s="87">
      <c r="A21" s="18" t="inlineStr">
        <is>
          <t>แฟชั่น 3</t>
        </is>
      </c>
      <c r="B21" s="40">
        <f>IFERROR(SUMIFS(Data!$G:$G,Data!$B:$B,"แฟชั่น 3",Data!$A:$A,"&gt;="&amp;DATE(2026,5,1),Data!$A:$A,"&lt;="&amp;DATE(2026,5,15)),0)</f>
        <v/>
      </c>
      <c r="C21" s="20">
        <f>B21*0.7</f>
        <v/>
      </c>
      <c r="D21" s="40">
        <f>IFERROR(SUMIFS(Data!$G:$G,Data!$B:$B,"แฟชั่น 3",Data!$A:$A,"&gt;="&amp;DATE(2026,5,16),Data!$A:$A,"&lt;="&amp;DATE(2026,5,31)),0)</f>
        <v/>
      </c>
      <c r="E21" s="20">
        <f>D21*0.7</f>
        <v/>
      </c>
      <c r="F21" s="40">
        <f>B21+D21</f>
        <v/>
      </c>
      <c r="G21" s="20">
        <f>C21+E21</f>
        <v/>
      </c>
    </row>
    <row r="22" ht="20" customHeight="1" s="87">
      <c r="A22" s="22" t="inlineStr">
        <is>
          <t>แฟชั่น B</t>
        </is>
      </c>
      <c r="B22" s="41">
        <f>IFERROR(SUMIFS(Data!$G:$G,Data!$B:$B,"แฟชั่น B",Data!$A:$A,"&gt;="&amp;DATE(2026,5,1),Data!$A:$A,"&lt;="&amp;DATE(2026,5,15)),0)</f>
        <v/>
      </c>
      <c r="C22" s="24">
        <f>B22*0.7</f>
        <v/>
      </c>
      <c r="D22" s="41">
        <f>IFERROR(SUMIFS(Data!$G:$G,Data!$B:$B,"แฟชั่น B",Data!$A:$A,"&gt;="&amp;DATE(2026,5,16),Data!$A:$A,"&lt;="&amp;DATE(2026,5,31)),0)</f>
        <v/>
      </c>
      <c r="E22" s="24">
        <f>D22*0.7</f>
        <v/>
      </c>
      <c r="F22" s="41">
        <f>B22+D22</f>
        <v/>
      </c>
      <c r="G22" s="24">
        <f>C22+E22</f>
        <v/>
      </c>
    </row>
    <row r="23" ht="20" customHeight="1" s="87">
      <c r="A23" s="26" t="inlineStr">
        <is>
          <t>เอสพลานาด</t>
        </is>
      </c>
      <c r="B23" s="42">
        <f>IFERROR(SUMIFS(Data!$G:$G,Data!$B:$B,"เอสพลานาด",Data!$A:$A,"&gt;="&amp;DATE(2026,5,1),Data!$A:$A,"&lt;="&amp;DATE(2026,5,15)),0)</f>
        <v/>
      </c>
      <c r="C23" s="28">
        <f>B23*0.7111</f>
        <v/>
      </c>
      <c r="D23" s="42">
        <f>IFERROR(SUMIFS(Data!$G:$G,Data!$B:$B,"เอสพลานาด",Data!$A:$A,"&gt;="&amp;DATE(2026,5,16),Data!$A:$A,"&lt;="&amp;DATE(2026,5,31)),0)</f>
        <v/>
      </c>
      <c r="E23" s="28">
        <f>D23*0.7111</f>
        <v/>
      </c>
      <c r="F23" s="42">
        <f>B23+D23</f>
        <v/>
      </c>
      <c r="G23" s="28">
        <f>C23+E23</f>
        <v/>
      </c>
    </row>
    <row r="24" ht="20" customHeight="1" s="87">
      <c r="A24" s="30" t="inlineStr">
        <is>
          <t>ขายเงินสด</t>
        </is>
      </c>
      <c r="B24" s="43">
        <f>IFERROR(SUMIFS(Data!$G:$G,Data!$B:$B,"ขายเงินสด",Data!$A:$A,"&gt;="&amp;DATE(2026,5,1),Data!$A:$A,"&lt;="&amp;DATE(2026,5,15)),0)</f>
        <v/>
      </c>
      <c r="C24" s="32">
        <f>B24*0.9345794393</f>
        <v/>
      </c>
      <c r="D24" s="43">
        <f>IFERROR(SUMIFS(Data!$G:$G,Data!$B:$B,"ขายเงินสด",Data!$A:$A,"&gt;="&amp;DATE(2026,5,16),Data!$A:$A,"&lt;="&amp;DATE(2026,5,31)),0)</f>
        <v/>
      </c>
      <c r="E24" s="32">
        <f>D24*0.9345794393</f>
        <v/>
      </c>
      <c r="F24" s="43">
        <f>B24+D24</f>
        <v/>
      </c>
      <c r="G24" s="32">
        <f>C24+E24</f>
        <v/>
      </c>
    </row>
    <row r="25" ht="24" customHeight="1" s="87">
      <c r="A25" s="34" t="inlineStr">
        <is>
          <t>รวมทุกสาขา</t>
        </is>
      </c>
      <c r="B25" s="35">
        <f>IFERROR(SUM(B19:B24),0)</f>
        <v/>
      </c>
      <c r="C25" s="35">
        <f>IFERROR(SUM(C19:C24),0)</f>
        <v/>
      </c>
      <c r="D25" s="35">
        <f>IFERROR(SUM(D19:D24),0)</f>
        <v/>
      </c>
      <c r="E25" s="35">
        <f>IFERROR(SUM(E19:E24),0)</f>
        <v/>
      </c>
      <c r="F25" s="35">
        <f>IFERROR(SUM(F19:F24),0)</f>
        <v/>
      </c>
      <c r="G25" s="35">
        <f>IFERROR(SUM(G19:G24),0)</f>
        <v/>
      </c>
    </row>
  </sheetData>
  <mergeCells count="24">
    <mergeCell ref="C6:D6"/>
    <mergeCell ref="I6:J6"/>
    <mergeCell ref="A2:AH2"/>
    <mergeCell ref="C5:D5"/>
    <mergeCell ref="E5:F5"/>
    <mergeCell ref="K5:L5"/>
    <mergeCell ref="M5:N5"/>
    <mergeCell ref="A6:B6"/>
    <mergeCell ref="A17:AH17"/>
    <mergeCell ref="C4:D4"/>
    <mergeCell ref="E4:F4"/>
    <mergeCell ref="G6:H6"/>
    <mergeCell ref="E6:F6"/>
    <mergeCell ref="M6:N6"/>
    <mergeCell ref="A5:B5"/>
    <mergeCell ref="G5:H5"/>
    <mergeCell ref="K6:L6"/>
    <mergeCell ref="I5:J5"/>
    <mergeCell ref="A1:AH1"/>
    <mergeCell ref="A4:B4"/>
    <mergeCell ref="G4:H4"/>
    <mergeCell ref="I4:J4"/>
    <mergeCell ref="K4:L4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style="87" min="1" max="1"/>
    <col width="14" customWidth="1" style="87" min="2" max="2"/>
    <col width="16" customWidth="1" style="87" min="3" max="3"/>
    <col width="28" customWidth="1" style="87" min="4" max="4"/>
    <col width="8" customWidth="1" style="87" min="5" max="6"/>
    <col width="10" customWidth="1" style="87" min="7" max="7"/>
  </cols>
  <sheetData>
    <row r="1">
      <c r="A1" s="94" t="inlineStr">
        <is>
          <t>date</t>
        </is>
      </c>
      <c r="B1" s="94" t="inlineStr">
        <is>
          <t>branch</t>
        </is>
      </c>
      <c r="C1" s="94" t="inlineStr">
        <is>
          <t>item_code</t>
        </is>
      </c>
      <c r="D1" s="94" t="inlineStr">
        <is>
          <t>item_name</t>
        </is>
      </c>
      <c r="E1" s="94" t="inlineStr">
        <is>
          <t>price</t>
        </is>
      </c>
      <c r="F1" s="94" t="inlineStr">
        <is>
          <t>qty</t>
        </is>
      </c>
      <c r="G1" s="94" t="inlineStr">
        <is>
          <t>amount</t>
        </is>
      </c>
    </row>
    <row r="2" ht="18" customHeight="1" s="87">
      <c r="A2" s="44" t="inlineStr">
        <is>
          <t>YYYY-MM-DD</t>
        </is>
      </c>
      <c r="B2" s="44" t="inlineStr">
        <is>
          <t>ชื่อสาขาไทย</t>
        </is>
      </c>
      <c r="C2" s="44" t="inlineStr">
        <is>
          <t>รหัสสินค้า</t>
        </is>
      </c>
      <c r="D2" s="44" t="inlineStr">
        <is>
          <t>ชื่อเมนู</t>
        </is>
      </c>
      <c r="E2" s="44" t="inlineStr">
        <is>
          <t>ราคาต่อจาน</t>
        </is>
      </c>
      <c r="F2" s="44" t="inlineStr">
        <is>
          <t>จำนวนจาน</t>
        </is>
      </c>
      <c r="G2" s="44" t="inlineStr">
        <is>
          <t>ยอดรวม</t>
        </is>
      </c>
    </row>
    <row r="3" ht="18" customHeight="1" s="87">
      <c r="A3" s="111" t="inlineStr">
        <is>
          <t>← ตัวอย่าง (Python จะเขียนทับ)</t>
        </is>
      </c>
      <c r="B3" s="45" t="inlineStr">
        <is>
          <t>อโศก</t>
        </is>
      </c>
      <c r="C3" s="45" t="inlineStr">
        <is>
          <t>ITEM0942</t>
        </is>
      </c>
      <c r="D3" s="46" t="inlineStr">
        <is>
          <t>ข้าวมันไก่ต้ม</t>
        </is>
      </c>
      <c r="E3" s="47" t="n">
        <v>35</v>
      </c>
      <c r="F3" s="47" t="n">
        <v>168</v>
      </c>
      <c r="G3" s="47" t="n">
        <v>5880</v>
      </c>
    </row>
  </sheetData>
  <autoFilter ref="A1:G1"/>
  <mergeCells count="1">
    <mergeCell ref="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10" defaultColWidth="8.83203125" defaultRowHeight="15"/>
  <cols>
    <col width="14" customWidth="1" style="87" min="1" max="1"/>
    <col width="16" customWidth="1" style="87" min="2" max="2"/>
    <col width="30" customWidth="1" style="87" min="3" max="3"/>
    <col width="10" customWidth="1" style="87" min="4" max="4"/>
  </cols>
  <sheetData>
    <row r="1" ht="27.75" customHeight="1" s="87">
      <c r="A1" s="112" t="inlineStr">
        <is>
          <t>Item Master — อ้างอิงจาก item_master.json (อย่าแก้ไข อัปเดตผ่าน Python)</t>
        </is>
      </c>
      <c r="B1" s="116" t="n"/>
      <c r="C1" s="116" t="n"/>
      <c r="D1" s="117" t="n"/>
    </row>
    <row r="2">
      <c r="A2" s="9" t="inlineStr">
        <is>
          <t>สาขา</t>
        </is>
      </c>
      <c r="B2" s="9" t="inlineStr">
        <is>
          <t>Item_Code</t>
        </is>
      </c>
      <c r="C2" s="9" t="inlineStr">
        <is>
          <t>ชื่อเมนู</t>
        </is>
      </c>
      <c r="D2" s="9" t="inlineStr">
        <is>
          <t>ราคา</t>
        </is>
      </c>
    </row>
    <row r="3">
      <c r="A3" s="48" t="inlineStr">
        <is>
          <t>อโศก</t>
        </is>
      </c>
      <c r="B3" s="49" t="inlineStr">
        <is>
          <t>ITEM0029</t>
        </is>
      </c>
      <c r="C3" s="49" t="inlineStr">
        <is>
          <t>29 ค่าอาหาร (10 บาท)</t>
        </is>
      </c>
      <c r="D3" s="50" t="n">
        <v>10</v>
      </c>
    </row>
    <row r="4">
      <c r="A4" s="48" t="inlineStr">
        <is>
          <t>อโศก</t>
        </is>
      </c>
      <c r="B4" s="49" t="inlineStr">
        <is>
          <t>ITEM0042</t>
        </is>
      </c>
      <c r="C4" s="49" t="inlineStr">
        <is>
          <t>12 กลับบ้านเพิ่ม</t>
        </is>
      </c>
      <c r="D4" s="50" t="n">
        <v>5</v>
      </c>
    </row>
    <row r="5">
      <c r="A5" s="48" t="inlineStr">
        <is>
          <t>อโศก</t>
        </is>
      </c>
      <c r="B5" s="49" t="inlineStr">
        <is>
          <t>ITEM0179</t>
        </is>
      </c>
      <c r="C5" s="49" t="inlineStr">
        <is>
          <t>22 ค่าอาหาร (15 บาท)</t>
        </is>
      </c>
      <c r="D5" s="50" t="n">
        <v>15</v>
      </c>
    </row>
    <row r="6">
      <c r="A6" s="48" t="inlineStr">
        <is>
          <t>อโศก</t>
        </is>
      </c>
      <c r="B6" s="49" t="inlineStr">
        <is>
          <t>ITEM0180</t>
        </is>
      </c>
      <c r="C6" s="49" t="inlineStr">
        <is>
          <t>23 ค่าอาหาร (20 บาท)</t>
        </is>
      </c>
      <c r="D6" s="50" t="n">
        <v>20</v>
      </c>
    </row>
    <row r="7">
      <c r="A7" s="48" t="inlineStr">
        <is>
          <t>อโศก</t>
        </is>
      </c>
      <c r="B7" s="49" t="inlineStr">
        <is>
          <t>ITEM0181</t>
        </is>
      </c>
      <c r="C7" s="49" t="inlineStr">
        <is>
          <t>24 ค่าอาหาร (30 บาท)</t>
        </is>
      </c>
      <c r="D7" s="50" t="n">
        <v>30</v>
      </c>
    </row>
    <row r="8">
      <c r="A8" s="48" t="inlineStr">
        <is>
          <t>อโศก</t>
        </is>
      </c>
      <c r="B8" s="49" t="inlineStr">
        <is>
          <t>ITEM0941</t>
        </is>
      </c>
      <c r="C8" s="49" t="inlineStr">
        <is>
          <t>ข้าวมันไก่สิงคโปร์</t>
        </is>
      </c>
      <c r="D8" s="50" t="n">
        <v>57</v>
      </c>
    </row>
    <row r="9">
      <c r="A9" s="48" t="inlineStr">
        <is>
          <t>อโศก</t>
        </is>
      </c>
      <c r="B9" s="49" t="inlineStr">
        <is>
          <t>ITEM0942</t>
        </is>
      </c>
      <c r="C9" s="49" t="inlineStr">
        <is>
          <t>ข้าวมันไก่ต้ม</t>
        </is>
      </c>
      <c r="D9" s="50" t="n">
        <v>35</v>
      </c>
    </row>
    <row r="10">
      <c r="A10" s="48" t="inlineStr">
        <is>
          <t>อโศก</t>
        </is>
      </c>
      <c r="B10" s="49" t="inlineStr">
        <is>
          <t>ITEM0943</t>
        </is>
      </c>
      <c r="C10" s="49" t="inlineStr">
        <is>
          <t>ข้าวมันไก่ทอด</t>
        </is>
      </c>
      <c r="D10" s="50" t="n">
        <v>35</v>
      </c>
    </row>
    <row r="11">
      <c r="A11" s="48" t="inlineStr">
        <is>
          <t>อโศก</t>
        </is>
      </c>
      <c r="B11" s="49" t="inlineStr">
        <is>
          <t>ITEM0944</t>
        </is>
      </c>
      <c r="C11" s="49" t="inlineStr">
        <is>
          <t>ข้าวมันไก่ผสม</t>
        </is>
      </c>
      <c r="D11" s="50" t="n">
        <v>40</v>
      </c>
    </row>
    <row r="12">
      <c r="A12" s="48" t="inlineStr">
        <is>
          <t>อโศก</t>
        </is>
      </c>
      <c r="B12" s="49" t="inlineStr">
        <is>
          <t>ITEM0945</t>
        </is>
      </c>
      <c r="C12" s="49" t="inlineStr">
        <is>
          <t>ข้าวยำไก่แซ่บ</t>
        </is>
      </c>
      <c r="D12" s="50" t="n">
        <v>38</v>
      </c>
    </row>
    <row r="13">
      <c r="A13" s="48" t="inlineStr">
        <is>
          <t>อโศก</t>
        </is>
      </c>
      <c r="B13" s="49" t="inlineStr">
        <is>
          <t>ITEM0946</t>
        </is>
      </c>
      <c r="C13" s="49" t="inlineStr">
        <is>
          <t>ยำแซ่บไก่ฉีก</t>
        </is>
      </c>
      <c r="D13" s="50" t="n">
        <v>32</v>
      </c>
    </row>
    <row r="14">
      <c r="A14" s="48" t="inlineStr">
        <is>
          <t>อโศก</t>
        </is>
      </c>
      <c r="B14" s="49" t="inlineStr">
        <is>
          <t>ITEM0947</t>
        </is>
      </c>
      <c r="C14" s="49" t="inlineStr">
        <is>
          <t>ชุดเซต ข้าวมันไก่ต้ม</t>
        </is>
      </c>
      <c r="D14" s="50" t="n">
        <v>100</v>
      </c>
    </row>
    <row r="15">
      <c r="A15" s="48" t="inlineStr">
        <is>
          <t>อโศก</t>
        </is>
      </c>
      <c r="B15" s="49" t="inlineStr">
        <is>
          <t>ITEM0948</t>
        </is>
      </c>
      <c r="C15" s="49" t="inlineStr">
        <is>
          <t>ชุดเซต ข้าวมันไก่สิงคโปร์</t>
        </is>
      </c>
      <c r="D15" s="50" t="n">
        <v>119</v>
      </c>
    </row>
    <row r="16">
      <c r="A16" s="48" t="inlineStr">
        <is>
          <t>อโศก</t>
        </is>
      </c>
      <c r="B16" s="49" t="inlineStr">
        <is>
          <t>ITEM0949</t>
        </is>
      </c>
      <c r="C16" s="49" t="inlineStr">
        <is>
          <t>เพิ่มตับนุ่ม</t>
        </is>
      </c>
      <c r="D16" s="50" t="n">
        <v>15</v>
      </c>
    </row>
    <row r="17">
      <c r="A17" s="48" t="inlineStr">
        <is>
          <t>อโศก</t>
        </is>
      </c>
      <c r="B17" s="49" t="inlineStr">
        <is>
          <t>ITEM0950</t>
        </is>
      </c>
      <c r="C17" s="49" t="inlineStr">
        <is>
          <t>ไข่ยางมะตูม</t>
        </is>
      </c>
      <c r="D17" s="50" t="n">
        <v>7</v>
      </c>
    </row>
    <row r="18">
      <c r="A18" s="51" t="inlineStr">
        <is>
          <t>พระราม 3</t>
        </is>
      </c>
      <c r="B18" s="52" t="inlineStr">
        <is>
          <t>ITEM0012</t>
        </is>
      </c>
      <c r="C18" s="52" t="inlineStr">
        <is>
          <t>กลับบ้านเพิ่ม</t>
        </is>
      </c>
      <c r="D18" s="53" t="n">
        <v>5</v>
      </c>
    </row>
    <row r="19">
      <c r="A19" s="51" t="inlineStr">
        <is>
          <t>พระราม 3</t>
        </is>
      </c>
      <c r="B19" s="52" t="inlineStr">
        <is>
          <t>ITEM0544</t>
        </is>
      </c>
      <c r="C19" s="52" t="inlineStr">
        <is>
          <t>พิเศษ</t>
        </is>
      </c>
      <c r="D19" s="53" t="n">
        <v>10</v>
      </c>
    </row>
    <row r="20">
      <c r="A20" s="51" t="inlineStr">
        <is>
          <t>พระราม 3</t>
        </is>
      </c>
      <c r="B20" s="52" t="inlineStr">
        <is>
          <t>ITEM0657</t>
        </is>
      </c>
      <c r="C20" s="52" t="inlineStr">
        <is>
          <t>ข้าวมันไก่ต้ม</t>
        </is>
      </c>
      <c r="D20" s="53" t="n">
        <v>35</v>
      </c>
    </row>
    <row r="21">
      <c r="A21" s="51" t="inlineStr">
        <is>
          <t>พระราม 3</t>
        </is>
      </c>
      <c r="B21" s="52" t="inlineStr">
        <is>
          <t>ITEM0658</t>
        </is>
      </c>
      <c r="C21" s="52" t="inlineStr">
        <is>
          <t>ข้าวมันไก่ทอด</t>
        </is>
      </c>
      <c r="D21" s="53" t="n">
        <v>35</v>
      </c>
    </row>
    <row r="22">
      <c r="A22" s="51" t="inlineStr">
        <is>
          <t>พระราม 3</t>
        </is>
      </c>
      <c r="B22" s="52" t="inlineStr">
        <is>
          <t>ITEM0659</t>
        </is>
      </c>
      <c r="C22" s="52" t="inlineStr">
        <is>
          <t>ข้าวยำไก่แซ่บ</t>
        </is>
      </c>
      <c r="D22" s="53" t="n">
        <v>38</v>
      </c>
    </row>
    <row r="23">
      <c r="A23" s="51" t="inlineStr">
        <is>
          <t>พระราม 3</t>
        </is>
      </c>
      <c r="B23" s="52" t="inlineStr">
        <is>
          <t>ITEM0660</t>
        </is>
      </c>
      <c r="C23" s="52" t="inlineStr">
        <is>
          <t>ข้าวมันไก่ผสม</t>
        </is>
      </c>
      <c r="D23" s="53" t="n">
        <v>40</v>
      </c>
    </row>
    <row r="24">
      <c r="A24" s="51" t="inlineStr">
        <is>
          <t>พระราม 3</t>
        </is>
      </c>
      <c r="B24" s="52" t="inlineStr">
        <is>
          <t>ITEM0661</t>
        </is>
      </c>
      <c r="C24" s="52" t="inlineStr">
        <is>
          <t>ข้าวมันไก่สิงคโปร์</t>
        </is>
      </c>
      <c r="D24" s="53" t="n">
        <v>57</v>
      </c>
    </row>
    <row r="25">
      <c r="A25" s="51" t="inlineStr">
        <is>
          <t>พระราม 3</t>
        </is>
      </c>
      <c r="B25" s="52" t="inlineStr">
        <is>
          <t>ITEM0662</t>
        </is>
      </c>
      <c r="C25" s="52" t="inlineStr">
        <is>
          <t>ชุดเซตข้าวมันไก่ต้ม</t>
        </is>
      </c>
      <c r="D25" s="53" t="n">
        <v>100</v>
      </c>
    </row>
    <row r="26">
      <c r="A26" s="51" t="inlineStr">
        <is>
          <t>พระราม 3</t>
        </is>
      </c>
      <c r="B26" s="52" t="inlineStr">
        <is>
          <t>ITEM0663</t>
        </is>
      </c>
      <c r="C26" s="52" t="inlineStr">
        <is>
          <t>ชุดเซตข้าวมันไก่สิงคโปร์</t>
        </is>
      </c>
      <c r="D26" s="53" t="n">
        <v>119</v>
      </c>
    </row>
    <row r="27">
      <c r="A27" s="51" t="inlineStr">
        <is>
          <t>พระราม 3</t>
        </is>
      </c>
      <c r="B27" s="52" t="inlineStr">
        <is>
          <t>ITEM0664</t>
        </is>
      </c>
      <c r="C27" s="52" t="inlineStr">
        <is>
          <t>เพิ่มตับนุ่ม</t>
        </is>
      </c>
      <c r="D27" s="53" t="n">
        <v>15</v>
      </c>
    </row>
    <row r="28">
      <c r="A28" s="51" t="inlineStr">
        <is>
          <t>พระราม 3</t>
        </is>
      </c>
      <c r="B28" s="52" t="inlineStr">
        <is>
          <t>ITEM0665</t>
        </is>
      </c>
      <c r="C28" s="52" t="inlineStr">
        <is>
          <t>ข้าวมันเปล่า</t>
        </is>
      </c>
      <c r="D28" s="53" t="n">
        <v>10</v>
      </c>
    </row>
    <row r="29">
      <c r="A29" s="51" t="inlineStr">
        <is>
          <t>พระราม 3</t>
        </is>
      </c>
      <c r="B29" s="52" t="inlineStr">
        <is>
          <t>ITEM0666</t>
        </is>
      </c>
      <c r="C29" s="52" t="inlineStr">
        <is>
          <t>ไข่ยางมะตูม</t>
        </is>
      </c>
      <c r="D29" s="53" t="n">
        <v>7</v>
      </c>
    </row>
    <row r="30">
      <c r="A30" s="54" t="inlineStr">
        <is>
          <t>แฟชั่น 3</t>
        </is>
      </c>
      <c r="B30" s="55" t="inlineStr">
        <is>
          <t>FS26-0016</t>
        </is>
      </c>
      <c r="C30" s="55" t="inlineStr">
        <is>
          <t>ข้าวมันสิงคโปร์</t>
        </is>
      </c>
      <c r="D30" s="56" t="n">
        <v>75</v>
      </c>
    </row>
    <row r="31">
      <c r="A31" s="54" t="inlineStr">
        <is>
          <t>แฟชั่น 3</t>
        </is>
      </c>
      <c r="B31" s="55" t="inlineStr">
        <is>
          <t>FS26-0017</t>
        </is>
      </c>
      <c r="C31" s="55" t="inlineStr">
        <is>
          <t>ข้าวมันไก่ทอด</t>
        </is>
      </c>
      <c r="D31" s="56" t="n">
        <v>60</v>
      </c>
    </row>
    <row r="32">
      <c r="A32" s="54" t="inlineStr">
        <is>
          <t>แฟชั่น 3</t>
        </is>
      </c>
      <c r="B32" s="55" t="inlineStr">
        <is>
          <t>FS26-0018</t>
        </is>
      </c>
      <c r="C32" s="55" t="inlineStr">
        <is>
          <t>ข้าวมันไก่ทอด พิเศษ</t>
        </is>
      </c>
      <c r="D32" s="56" t="n">
        <v>70</v>
      </c>
    </row>
    <row r="33">
      <c r="A33" s="54" t="inlineStr">
        <is>
          <t>แฟชั่น 3</t>
        </is>
      </c>
      <c r="B33" s="55" t="inlineStr">
        <is>
          <t>FS26-0019</t>
        </is>
      </c>
      <c r="C33" s="55" t="inlineStr">
        <is>
          <t>ไก่ทอดสับ</t>
        </is>
      </c>
      <c r="D33" s="56" t="n">
        <v>60</v>
      </c>
    </row>
    <row r="34">
      <c r="A34" s="54" t="inlineStr">
        <is>
          <t>แฟชั่น 3</t>
        </is>
      </c>
      <c r="B34" s="55" t="inlineStr">
        <is>
          <t>FS26-0020</t>
        </is>
      </c>
      <c r="C34" s="55" t="inlineStr">
        <is>
          <t>ไก่ต้มสับ</t>
        </is>
      </c>
      <c r="D34" s="56" t="n">
        <v>60</v>
      </c>
    </row>
    <row r="35">
      <c r="A35" s="54" t="inlineStr">
        <is>
          <t>แฟชั่น 3</t>
        </is>
      </c>
      <c r="B35" s="55" t="inlineStr">
        <is>
          <t>FS26-0021</t>
        </is>
      </c>
      <c r="C35" s="55" t="inlineStr">
        <is>
          <t>ข้าวมันตับนุ่ม</t>
        </is>
      </c>
      <c r="D35" s="56" t="n">
        <v>60</v>
      </c>
    </row>
    <row r="36">
      <c r="A36" s="54" t="inlineStr">
        <is>
          <t>แฟชั่น 3</t>
        </is>
      </c>
      <c r="B36" s="55" t="inlineStr">
        <is>
          <t>FS26-0022</t>
        </is>
      </c>
      <c r="C36" s="55" t="inlineStr">
        <is>
          <t>ตับนุ่ม (จาน)</t>
        </is>
      </c>
      <c r="D36" s="56" t="n">
        <v>60</v>
      </c>
    </row>
    <row r="37">
      <c r="A37" s="54" t="inlineStr">
        <is>
          <t>แฟชั่น 3</t>
        </is>
      </c>
      <c r="B37" s="55" t="inlineStr">
        <is>
          <t>FS26-0023</t>
        </is>
      </c>
      <c r="C37" s="55" t="inlineStr">
        <is>
          <t>ข้าวมันเปล่า</t>
        </is>
      </c>
      <c r="D37" s="56" t="n">
        <v>15</v>
      </c>
    </row>
    <row r="38">
      <c r="A38" s="54" t="inlineStr">
        <is>
          <t>แฟชั่น 3</t>
        </is>
      </c>
      <c r="B38" s="55" t="inlineStr">
        <is>
          <t>FS26-0024</t>
        </is>
      </c>
      <c r="C38" s="55" t="inlineStr">
        <is>
          <t>ไข่ยางมะตูม</t>
        </is>
      </c>
      <c r="D38" s="56" t="n">
        <v>10</v>
      </c>
    </row>
    <row r="39">
      <c r="A39" s="54" t="inlineStr">
        <is>
          <t>แฟชั่น 3</t>
        </is>
      </c>
      <c r="B39" s="55" t="inlineStr">
        <is>
          <t>FS26-0025</t>
        </is>
      </c>
      <c r="C39" s="55" t="inlineStr">
        <is>
          <t>พิเศษ B</t>
        </is>
      </c>
      <c r="D39" s="56" t="n">
        <v>15</v>
      </c>
    </row>
    <row r="40">
      <c r="A40" s="54" t="inlineStr">
        <is>
          <t>แฟชั่น 3</t>
        </is>
      </c>
      <c r="B40" s="55" t="inlineStr">
        <is>
          <t>FS26-0026</t>
        </is>
      </c>
      <c r="C40" s="55" t="inlineStr">
        <is>
          <t>ข้าวมันไก่ต้ม</t>
        </is>
      </c>
      <c r="D40" s="56" t="n">
        <v>60</v>
      </c>
    </row>
    <row r="41">
      <c r="A41" s="54" t="inlineStr">
        <is>
          <t>แฟชั่น 3</t>
        </is>
      </c>
      <c r="B41" s="55" t="inlineStr">
        <is>
          <t>FS26-0027</t>
        </is>
      </c>
      <c r="C41" s="55" t="inlineStr">
        <is>
          <t>ข้าวมันไก่ต้ม พิเศษ</t>
        </is>
      </c>
      <c r="D41" s="56" t="n">
        <v>70</v>
      </c>
    </row>
    <row r="42">
      <c r="A42" s="54" t="inlineStr">
        <is>
          <t>แฟชั่น 3</t>
        </is>
      </c>
      <c r="B42" s="55" t="inlineStr">
        <is>
          <t>FS26-0028</t>
        </is>
      </c>
      <c r="C42" s="55" t="inlineStr">
        <is>
          <t>ข้าวมันไก่ผสม</t>
        </is>
      </c>
      <c r="D42" s="56" t="n">
        <v>70</v>
      </c>
    </row>
    <row r="43">
      <c r="A43" s="54" t="inlineStr">
        <is>
          <t>แฟชั่น 3</t>
        </is>
      </c>
      <c r="B43" s="55" t="inlineStr">
        <is>
          <t>FS26-0029</t>
        </is>
      </c>
      <c r="C43" s="55" t="inlineStr">
        <is>
          <t>ข้าวยำไก่แซ่บ</t>
        </is>
      </c>
      <c r="D43" s="56" t="n">
        <v>60</v>
      </c>
    </row>
    <row r="44">
      <c r="A44" s="54" t="inlineStr">
        <is>
          <t>แฟชั่น 3</t>
        </is>
      </c>
      <c r="B44" s="55" t="inlineStr">
        <is>
          <t>FS26-0031</t>
        </is>
      </c>
      <c r="C44" s="55" t="inlineStr">
        <is>
          <t>เพิ่มตับนุ่ม (เสริม)</t>
        </is>
      </c>
      <c r="D44" s="56" t="n">
        <v>15</v>
      </c>
    </row>
    <row r="45">
      <c r="A45" s="54" t="inlineStr">
        <is>
          <t>แฟชั่น 3</t>
        </is>
      </c>
      <c r="B45" s="55" t="inlineStr">
        <is>
          <t>FS26-0034</t>
        </is>
      </c>
      <c r="C45" s="55" t="inlineStr">
        <is>
          <t>พิเศษ A</t>
        </is>
      </c>
      <c r="D45" s="56" t="n">
        <v>10</v>
      </c>
    </row>
    <row r="46">
      <c r="A46" s="54" t="inlineStr">
        <is>
          <t>แฟชั่น 3</t>
        </is>
      </c>
      <c r="B46" s="55" t="inlineStr">
        <is>
          <t>FS26-0036</t>
        </is>
      </c>
      <c r="C46" s="55" t="inlineStr">
        <is>
          <t>ข้าวมันไก่จัดเต็ม</t>
        </is>
      </c>
      <c r="D46" s="56" t="n">
        <v>80</v>
      </c>
    </row>
    <row r="47">
      <c r="A47" s="54" t="inlineStr">
        <is>
          <t>แฟชั่น 3</t>
        </is>
      </c>
      <c r="B47" s="55" t="inlineStr">
        <is>
          <t>FS26-0037</t>
        </is>
      </c>
      <c r="C47" s="55" t="inlineStr">
        <is>
          <t>ข้าวมันไก่ย่าง</t>
        </is>
      </c>
      <c r="D47" s="56" t="n">
        <v>60</v>
      </c>
    </row>
    <row r="48">
      <c r="A48" s="54" t="inlineStr">
        <is>
          <t>แฟชั่น 3</t>
        </is>
      </c>
      <c r="B48" s="55" t="inlineStr">
        <is>
          <t>FS26-0038</t>
        </is>
      </c>
      <c r="C48" s="55" t="inlineStr">
        <is>
          <t>ข้าวแกงกะหรี่ไก่ทอด</t>
        </is>
      </c>
      <c r="D48" s="56" t="n">
        <v>54</v>
      </c>
    </row>
    <row r="49">
      <c r="A49" s="54" t="inlineStr">
        <is>
          <t>แฟชั่น 3</t>
        </is>
      </c>
      <c r="B49" s="55" t="inlineStr">
        <is>
          <t>FS26-0039</t>
        </is>
      </c>
      <c r="C49" s="55" t="inlineStr">
        <is>
          <t>ข้าวแกงกะหรี่ปลายทอด</t>
        </is>
      </c>
      <c r="D49" s="56" t="n">
        <v>45</v>
      </c>
    </row>
    <row r="50">
      <c r="A50" s="54" t="inlineStr">
        <is>
          <t>แฟชั่น 3</t>
        </is>
      </c>
      <c r="B50" s="55" t="inlineStr">
        <is>
          <t>FS26-0044</t>
        </is>
      </c>
      <c r="C50" s="55" t="inlineStr">
        <is>
          <t>ข้าวไก่ทอดซอสกะเพรา</t>
        </is>
      </c>
      <c r="D50" s="56" t="n">
        <v>60</v>
      </c>
    </row>
    <row r="51">
      <c r="A51" s="54" t="inlineStr">
        <is>
          <t>แฟชั่น 3</t>
        </is>
      </c>
      <c r="B51" s="55" t="inlineStr">
        <is>
          <t>FS26-0045</t>
        </is>
      </c>
      <c r="C51" s="55" t="inlineStr">
        <is>
          <t>ข้าวปลาดอลลี่ซอสกะเพรา</t>
        </is>
      </c>
      <c r="D51" s="56" t="n">
        <v>60</v>
      </c>
    </row>
    <row r="52">
      <c r="A52" s="57" t="inlineStr">
        <is>
          <t>แฟชั่น B</t>
        </is>
      </c>
      <c r="B52" s="58" t="inlineStr">
        <is>
          <t>FMFC033-001</t>
        </is>
      </c>
      <c r="C52" s="58" t="inlineStr">
        <is>
          <t>ข้าวมันไก่ต้ม</t>
        </is>
      </c>
      <c r="D52" s="59" t="n">
        <v>60</v>
      </c>
    </row>
    <row r="53">
      <c r="A53" s="57" t="inlineStr">
        <is>
          <t>แฟชั่น B</t>
        </is>
      </c>
      <c r="B53" s="58" t="inlineStr">
        <is>
          <t>FMFC033-002</t>
        </is>
      </c>
      <c r="C53" s="58" t="inlineStr">
        <is>
          <t>ข้าวมันไก่ทอด</t>
        </is>
      </c>
      <c r="D53" s="59" t="n">
        <v>60</v>
      </c>
    </row>
    <row r="54">
      <c r="A54" s="57" t="inlineStr">
        <is>
          <t>แฟชั่น B</t>
        </is>
      </c>
      <c r="B54" s="58" t="inlineStr">
        <is>
          <t>FMFC033-003</t>
        </is>
      </c>
      <c r="C54" s="58" t="inlineStr">
        <is>
          <t>ข้าวยำไก่แซ่บ</t>
        </is>
      </c>
      <c r="D54" s="59" t="n">
        <v>60</v>
      </c>
    </row>
    <row r="55">
      <c r="A55" s="57" t="inlineStr">
        <is>
          <t>แฟชั่น B</t>
        </is>
      </c>
      <c r="B55" s="58" t="inlineStr">
        <is>
          <t>FMFC033-006</t>
        </is>
      </c>
      <c r="C55" s="58" t="inlineStr">
        <is>
          <t>ข้าวมันเปล่า</t>
        </is>
      </c>
      <c r="D55" s="59" t="n">
        <v>15</v>
      </c>
    </row>
    <row r="56">
      <c r="A56" s="57" t="inlineStr">
        <is>
          <t>แฟชั่น B</t>
        </is>
      </c>
      <c r="B56" s="58" t="inlineStr">
        <is>
          <t>FMFC033-007</t>
        </is>
      </c>
      <c r="C56" s="58" t="inlineStr">
        <is>
          <t>ตับนุ่ม (จาน)</t>
        </is>
      </c>
      <c r="D56" s="59" t="n">
        <v>60</v>
      </c>
    </row>
    <row r="57">
      <c r="A57" s="57" t="inlineStr">
        <is>
          <t>แฟชั่น B</t>
        </is>
      </c>
      <c r="B57" s="58" t="inlineStr">
        <is>
          <t>FMFC033-034</t>
        </is>
      </c>
      <c r="C57" s="58" t="inlineStr">
        <is>
          <t>ข้าวขาหมู</t>
        </is>
      </c>
      <c r="D57" s="59" t="n">
        <v>60</v>
      </c>
    </row>
    <row r="58">
      <c r="A58" s="57" t="inlineStr">
        <is>
          <t>แฟชั่น B</t>
        </is>
      </c>
      <c r="B58" s="58" t="inlineStr">
        <is>
          <t>FMFC033-035</t>
        </is>
      </c>
      <c r="C58" s="58" t="inlineStr">
        <is>
          <t>ข้าวคากิ</t>
        </is>
      </c>
      <c r="D58" s="59" t="n">
        <v>60</v>
      </c>
    </row>
    <row r="59">
      <c r="A59" s="57" t="inlineStr">
        <is>
          <t>แฟชั่น B</t>
        </is>
      </c>
      <c r="B59" s="58" t="inlineStr">
        <is>
          <t>FMFC033-037</t>
        </is>
      </c>
      <c r="C59" s="58" t="inlineStr">
        <is>
          <t>ข้าวขาหมูจัดเต็ม</t>
        </is>
      </c>
      <c r="D59" s="59" t="n">
        <v>90</v>
      </c>
    </row>
    <row r="60">
      <c r="A60" s="57" t="inlineStr">
        <is>
          <t>แฟชั่น B</t>
        </is>
      </c>
      <c r="B60" s="58" t="inlineStr">
        <is>
          <t>FMFC033-038</t>
        </is>
      </c>
      <c r="C60" s="58" t="inlineStr">
        <is>
          <t>ชุดขาหมูรวมจัดเต็ม</t>
        </is>
      </c>
      <c r="D60" s="59" t="n">
        <v>190</v>
      </c>
    </row>
    <row r="61">
      <c r="A61" s="57" t="inlineStr">
        <is>
          <t>แฟชั่น B</t>
        </is>
      </c>
      <c r="B61" s="58" t="inlineStr">
        <is>
          <t>FMFC033-049</t>
        </is>
      </c>
      <c r="C61" s="58" t="inlineStr">
        <is>
          <t>ข้าวไก่ทอดซอสกะเพรา</t>
        </is>
      </c>
      <c r="D61" s="59" t="n">
        <v>60</v>
      </c>
    </row>
    <row r="62">
      <c r="A62" s="57" t="inlineStr">
        <is>
          <t>แฟชั่น B</t>
        </is>
      </c>
      <c r="B62" s="58" t="inlineStr">
        <is>
          <t>FMFC033-050</t>
        </is>
      </c>
      <c r="C62" s="58" t="inlineStr">
        <is>
          <t>ยำไก่ทอด/ต้มซอสกะเพรา</t>
        </is>
      </c>
      <c r="D62" s="59" t="n">
        <v>60</v>
      </c>
    </row>
    <row r="63">
      <c r="A63" s="60" t="inlineStr">
        <is>
          <t>เอสพลานาด</t>
        </is>
      </c>
      <c r="B63" s="61" t="inlineStr">
        <is>
          <t>FG-ES-RAT-01</t>
        </is>
      </c>
      <c r="C63" s="61" t="inlineStr">
        <is>
          <t>ข้าวมันไก่ต้ม</t>
        </is>
      </c>
      <c r="D63" s="62" t="n">
        <v>60</v>
      </c>
    </row>
    <row r="64">
      <c r="A64" s="60" t="inlineStr">
        <is>
          <t>เอสพลานาด</t>
        </is>
      </c>
      <c r="B64" s="61" t="inlineStr">
        <is>
          <t>FG-ES-RAT-03</t>
        </is>
      </c>
      <c r="C64" s="61" t="inlineStr">
        <is>
          <t>ข้าวมันไก่ทอด</t>
        </is>
      </c>
      <c r="D64" s="62" t="n">
        <v>60</v>
      </c>
    </row>
    <row r="65">
      <c r="A65" s="60" t="inlineStr">
        <is>
          <t>เอสพลานาด</t>
        </is>
      </c>
      <c r="B65" s="61" t="inlineStr">
        <is>
          <t>FG-ES-RAT-15</t>
        </is>
      </c>
      <c r="C65" s="61" t="inlineStr">
        <is>
          <t>ข้าวมันไก่สิงคโปร์</t>
        </is>
      </c>
      <c r="D65" s="62" t="n">
        <v>75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87" min="1" max="1"/>
    <col width="28" customWidth="1" style="87" min="2" max="2"/>
    <col width="7" customWidth="1" style="87" min="3" max="33"/>
    <col width="11" customWidth="1" style="87" min="34" max="34"/>
    <col width="12" customWidth="1" style="87" min="35" max="35"/>
    <col width="11" customWidth="1" style="87" min="36" max="36"/>
    <col width="13" customWidth="1" style="87" min="37" max="38"/>
    <col width="14" customWidth="1" style="87" min="39" max="40"/>
  </cols>
  <sheetData>
    <row r="1" ht="27.75" customHeight="1" s="87">
      <c r="A1" s="115" t="inlineStr">
        <is>
          <t>สาขา อโศก — ยอดขายรายเมนู พฤษภาคม 2569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7" t="n"/>
    </row>
    <row r="2" ht="6" customHeight="1" s="87"/>
    <row r="3" ht="21.75" customHeight="1" s="87">
      <c r="A3" s="96" t="inlineStr">
        <is>
          <t>Item_Code</t>
        </is>
      </c>
      <c r="B3" s="48" t="inlineStr">
        <is>
          <t>ชื่อเมนู</t>
        </is>
      </c>
      <c r="C3" s="63" t="inlineStr">
        <is>
          <t>ศ
1/5</t>
        </is>
      </c>
      <c r="D3" s="63" t="inlineStr">
        <is>
          <t>ส
2/5</t>
        </is>
      </c>
      <c r="E3" s="63" t="inlineStr">
        <is>
          <t>อา
3/5</t>
        </is>
      </c>
      <c r="F3" s="63" t="inlineStr">
        <is>
          <t>จ
4/5</t>
        </is>
      </c>
      <c r="G3" s="63" t="inlineStr">
        <is>
          <t>อ
5/5</t>
        </is>
      </c>
      <c r="H3" s="63" t="inlineStr">
        <is>
          <t>พ
6/5</t>
        </is>
      </c>
      <c r="I3" s="63" t="inlineStr">
        <is>
          <t>พฤ
7/5</t>
        </is>
      </c>
      <c r="J3" s="63" t="inlineStr">
        <is>
          <t>ศ
8/5</t>
        </is>
      </c>
      <c r="K3" s="63" t="inlineStr">
        <is>
          <t>ส
9/5</t>
        </is>
      </c>
      <c r="L3" s="63" t="inlineStr">
        <is>
          <t>อา
10/5</t>
        </is>
      </c>
      <c r="M3" s="63" t="inlineStr">
        <is>
          <t>จ
11/5</t>
        </is>
      </c>
      <c r="N3" s="63" t="inlineStr">
        <is>
          <t>อ
12/5</t>
        </is>
      </c>
      <c r="O3" s="63" t="inlineStr">
        <is>
          <t>พ
13/5</t>
        </is>
      </c>
      <c r="P3" s="63" t="inlineStr">
        <is>
          <t>พฤ
14/5</t>
        </is>
      </c>
      <c r="Q3" s="63" t="inlineStr">
        <is>
          <t>ศ
15/5</t>
        </is>
      </c>
      <c r="R3" s="63" t="inlineStr">
        <is>
          <t>ส
16/5</t>
        </is>
      </c>
      <c r="S3" s="63" t="inlineStr">
        <is>
          <t>อา
17/5</t>
        </is>
      </c>
      <c r="T3" s="63" t="inlineStr">
        <is>
          <t>จ
18/5</t>
        </is>
      </c>
      <c r="U3" s="63" t="inlineStr">
        <is>
          <t>อ
19/5</t>
        </is>
      </c>
      <c r="V3" s="63" t="inlineStr">
        <is>
          <t>พ
20/5</t>
        </is>
      </c>
      <c r="W3" s="63" t="inlineStr">
        <is>
          <t>พฤ
21/5</t>
        </is>
      </c>
      <c r="X3" s="63" t="inlineStr">
        <is>
          <t>ศ
22/5</t>
        </is>
      </c>
      <c r="Y3" s="63" t="inlineStr">
        <is>
          <t>ส
23/5</t>
        </is>
      </c>
      <c r="Z3" s="63" t="inlineStr">
        <is>
          <t>อา
24/5</t>
        </is>
      </c>
      <c r="AA3" s="63" t="inlineStr">
        <is>
          <t>จ
25/5</t>
        </is>
      </c>
      <c r="AB3" s="63" t="inlineStr">
        <is>
          <t>อ
26/5</t>
        </is>
      </c>
      <c r="AC3" s="63" t="inlineStr">
        <is>
          <t>พ
27/5</t>
        </is>
      </c>
      <c r="AD3" s="63" t="inlineStr">
        <is>
          <t>พฤ
28/5</t>
        </is>
      </c>
      <c r="AE3" s="63" t="inlineStr">
        <is>
          <t>ศ
29/5</t>
        </is>
      </c>
      <c r="AF3" s="63" t="inlineStr">
        <is>
          <t>ส
30/5</t>
        </is>
      </c>
      <c r="AG3" s="63" t="inlineStr">
        <is>
          <t>อา
31/5</t>
        </is>
      </c>
      <c r="AH3" s="106" t="inlineStr">
        <is>
          <t>รวม (จาน)</t>
        </is>
      </c>
      <c r="AI3" s="106" t="inlineStr">
        <is>
          <t>รวม (฿)</t>
        </is>
      </c>
      <c r="AJ3" s="106" t="inlineStr">
        <is>
          <t>%</t>
        </is>
      </c>
      <c r="AK3" s="106" t="inlineStr">
        <is>
          <t>ยอดขาย 1-15</t>
        </is>
      </c>
      <c r="AL3" s="106" t="inlineStr">
        <is>
          <t>ยอดขาย 16-31</t>
        </is>
      </c>
      <c r="AM3" s="37" t="inlineStr">
        <is>
          <t>ยอดรับ 1-15</t>
        </is>
      </c>
      <c r="AN3" s="37" t="inlineStr">
        <is>
          <t>ยอดรับ 16-31</t>
        </is>
      </c>
    </row>
    <row r="4" ht="19" customHeight="1" s="87">
      <c r="A4" s="64" t="inlineStr">
        <is>
          <t>ITEM0029</t>
        </is>
      </c>
      <c r="B4" s="65" t="inlineStr">
        <is>
          <t>29 ค่าอาหาร (10 บาท)</t>
        </is>
      </c>
      <c r="C4" s="130">
        <f>IFERROR(SUMIFS(Data!$F:$F,Data!$B:$B,"อโศก",Data!$C:$C,"ITEM0029",Data!$A:$A,DATE(2026,5,1)),"")</f>
        <v/>
      </c>
      <c r="D4" s="130">
        <f>IFERROR(SUMIFS(Data!$F:$F,Data!$B:$B,"อโศก",Data!$C:$C,"ITEM0029",Data!$A:$A,DATE(2026,5,2)),"")</f>
        <v/>
      </c>
      <c r="E4" s="130">
        <f>IFERROR(SUMIFS(Data!$F:$F,Data!$B:$B,"อโศก",Data!$C:$C,"ITEM0029",Data!$A:$A,DATE(2026,5,3)),"")</f>
        <v/>
      </c>
      <c r="F4" s="130">
        <f>IFERROR(SUMIFS(Data!$F:$F,Data!$B:$B,"อโศก",Data!$C:$C,"ITEM0029",Data!$A:$A,DATE(2026,5,4)),"")</f>
        <v/>
      </c>
      <c r="G4" s="130">
        <f>IFERROR(SUMIFS(Data!$F:$F,Data!$B:$B,"อโศก",Data!$C:$C,"ITEM0029",Data!$A:$A,DATE(2026,5,5)),"")</f>
        <v/>
      </c>
      <c r="H4" s="130">
        <f>IFERROR(SUMIFS(Data!$F:$F,Data!$B:$B,"อโศก",Data!$C:$C,"ITEM0029",Data!$A:$A,DATE(2026,5,6)),"")</f>
        <v/>
      </c>
      <c r="I4" s="130">
        <f>IFERROR(SUMIFS(Data!$F:$F,Data!$B:$B,"อโศก",Data!$C:$C,"ITEM0029",Data!$A:$A,DATE(2026,5,7)),"")</f>
        <v/>
      </c>
      <c r="J4" s="130">
        <f>IFERROR(SUMIFS(Data!$F:$F,Data!$B:$B,"อโศก",Data!$C:$C,"ITEM0029",Data!$A:$A,DATE(2026,5,8)),"")</f>
        <v/>
      </c>
      <c r="K4" s="130">
        <f>IFERROR(SUMIFS(Data!$F:$F,Data!$B:$B,"อโศก",Data!$C:$C,"ITEM0029",Data!$A:$A,DATE(2026,5,9)),"")</f>
        <v/>
      </c>
      <c r="L4" s="130">
        <f>IFERROR(SUMIFS(Data!$F:$F,Data!$B:$B,"อโศก",Data!$C:$C,"ITEM0029",Data!$A:$A,DATE(2026,5,10)),"")</f>
        <v/>
      </c>
      <c r="M4" s="130">
        <f>IFERROR(SUMIFS(Data!$F:$F,Data!$B:$B,"อโศก",Data!$C:$C,"ITEM0029",Data!$A:$A,DATE(2026,5,11)),"")</f>
        <v/>
      </c>
      <c r="N4" s="130">
        <f>IFERROR(SUMIFS(Data!$F:$F,Data!$B:$B,"อโศก",Data!$C:$C,"ITEM0029",Data!$A:$A,DATE(2026,5,12)),"")</f>
        <v/>
      </c>
      <c r="O4" s="130">
        <f>IFERROR(SUMIFS(Data!$F:$F,Data!$B:$B,"อโศก",Data!$C:$C,"ITEM0029",Data!$A:$A,DATE(2026,5,13)),"")</f>
        <v/>
      </c>
      <c r="P4" s="130">
        <f>IFERROR(SUMIFS(Data!$F:$F,Data!$B:$B,"อโศก",Data!$C:$C,"ITEM0029",Data!$A:$A,DATE(2026,5,14)),"")</f>
        <v/>
      </c>
      <c r="Q4" s="130">
        <f>IFERROR(SUMIFS(Data!$F:$F,Data!$B:$B,"อโศก",Data!$C:$C,"ITEM0029",Data!$A:$A,DATE(2026,5,15)),"")</f>
        <v/>
      </c>
      <c r="R4" s="130">
        <f>IFERROR(SUMIFS(Data!$F:$F,Data!$B:$B,"อโศก",Data!$C:$C,"ITEM0029",Data!$A:$A,DATE(2026,5,16)),"")</f>
        <v/>
      </c>
      <c r="S4" s="130">
        <f>IFERROR(SUMIFS(Data!$F:$F,Data!$B:$B,"อโศก",Data!$C:$C,"ITEM0029",Data!$A:$A,DATE(2026,5,17)),"")</f>
        <v/>
      </c>
      <c r="T4" s="130">
        <f>IFERROR(SUMIFS(Data!$F:$F,Data!$B:$B,"อโศก",Data!$C:$C,"ITEM0029",Data!$A:$A,DATE(2026,5,18)),"")</f>
        <v/>
      </c>
      <c r="U4" s="130">
        <f>IFERROR(SUMIFS(Data!$F:$F,Data!$B:$B,"อโศก",Data!$C:$C,"ITEM0029",Data!$A:$A,DATE(2026,5,19)),"")</f>
        <v/>
      </c>
      <c r="V4" s="130">
        <f>IFERROR(SUMIFS(Data!$F:$F,Data!$B:$B,"อโศก",Data!$C:$C,"ITEM0029",Data!$A:$A,DATE(2026,5,20)),"")</f>
        <v/>
      </c>
      <c r="W4" s="130">
        <f>IFERROR(SUMIFS(Data!$F:$F,Data!$B:$B,"อโศก",Data!$C:$C,"ITEM0029",Data!$A:$A,DATE(2026,5,21)),"")</f>
        <v/>
      </c>
      <c r="X4" s="130">
        <f>IFERROR(SUMIFS(Data!$F:$F,Data!$B:$B,"อโศก",Data!$C:$C,"ITEM0029",Data!$A:$A,DATE(2026,5,22)),"")</f>
        <v/>
      </c>
      <c r="Y4" s="130">
        <f>IFERROR(SUMIFS(Data!$F:$F,Data!$B:$B,"อโศก",Data!$C:$C,"ITEM0029",Data!$A:$A,DATE(2026,5,23)),"")</f>
        <v/>
      </c>
      <c r="Z4" s="130">
        <f>IFERROR(SUMIFS(Data!$F:$F,Data!$B:$B,"อโศก",Data!$C:$C,"ITEM0029",Data!$A:$A,DATE(2026,5,24)),"")</f>
        <v/>
      </c>
      <c r="AA4" s="130">
        <f>IFERROR(SUMIFS(Data!$F:$F,Data!$B:$B,"อโศก",Data!$C:$C,"ITEM0029",Data!$A:$A,DATE(2026,5,25)),"")</f>
        <v/>
      </c>
      <c r="AB4" s="130">
        <f>IFERROR(SUMIFS(Data!$F:$F,Data!$B:$B,"อโศก",Data!$C:$C,"ITEM0029",Data!$A:$A,DATE(2026,5,26)),"")</f>
        <v/>
      </c>
      <c r="AC4" s="130">
        <f>IFERROR(SUMIFS(Data!$F:$F,Data!$B:$B,"อโศก",Data!$C:$C,"ITEM0029",Data!$A:$A,DATE(2026,5,27)),"")</f>
        <v/>
      </c>
      <c r="AD4" s="130">
        <f>IFERROR(SUMIFS(Data!$F:$F,Data!$B:$B,"อโศก",Data!$C:$C,"ITEM0029",Data!$A:$A,DATE(2026,5,28)),"")</f>
        <v/>
      </c>
      <c r="AE4" s="130">
        <f>IFERROR(SUMIFS(Data!$F:$F,Data!$B:$B,"อโศก",Data!$C:$C,"ITEM0029",Data!$A:$A,DATE(2026,5,29)),"")</f>
        <v/>
      </c>
      <c r="AF4" s="130">
        <f>IFERROR(SUMIFS(Data!$F:$F,Data!$B:$B,"อโศก",Data!$C:$C,"ITEM0029",Data!$A:$A,DATE(2026,5,30)),"")</f>
        <v/>
      </c>
      <c r="AG4" s="130">
        <f>IFERROR(SUMIFS(Data!$F:$F,Data!$B:$B,"อโศก",Data!$C:$C,"ITEM0029",Data!$A:$A,DATE(2026,5,31)),"")</f>
        <v/>
      </c>
      <c r="AH4" s="67">
        <f>IFERROR(SUM(C4:AG4),0)</f>
        <v/>
      </c>
      <c r="AI4" s="67">
        <f>AH4*10</f>
        <v/>
      </c>
      <c r="AJ4" s="131">
        <f>IFERROR(AI4/AI20,0)</f>
        <v/>
      </c>
    </row>
    <row r="5" ht="19" customHeight="1" s="87">
      <c r="A5" s="64" t="inlineStr">
        <is>
          <t>ITEM0042</t>
        </is>
      </c>
      <c r="B5" s="65" t="inlineStr">
        <is>
          <t>12 กลับบ้านเพิ่ม</t>
        </is>
      </c>
      <c r="C5" s="130">
        <f>IFERROR(SUMIFS(Data!$F:$F,Data!$B:$B,"อโศก",Data!$C:$C,"ITEM0042",Data!$A:$A,DATE(2026,5,1)),"")</f>
        <v/>
      </c>
      <c r="D5" s="130">
        <f>IFERROR(SUMIFS(Data!$F:$F,Data!$B:$B,"อโศก",Data!$C:$C,"ITEM0042",Data!$A:$A,DATE(2026,5,2)),"")</f>
        <v/>
      </c>
      <c r="E5" s="130">
        <f>IFERROR(SUMIFS(Data!$F:$F,Data!$B:$B,"อโศก",Data!$C:$C,"ITEM0042",Data!$A:$A,DATE(2026,5,3)),"")</f>
        <v/>
      </c>
      <c r="F5" s="130">
        <f>IFERROR(SUMIFS(Data!$F:$F,Data!$B:$B,"อโศก",Data!$C:$C,"ITEM0042",Data!$A:$A,DATE(2026,5,4)),"")</f>
        <v/>
      </c>
      <c r="G5" s="130">
        <f>IFERROR(SUMIFS(Data!$F:$F,Data!$B:$B,"อโศก",Data!$C:$C,"ITEM0042",Data!$A:$A,DATE(2026,5,5)),"")</f>
        <v/>
      </c>
      <c r="H5" s="130">
        <f>IFERROR(SUMIFS(Data!$F:$F,Data!$B:$B,"อโศก",Data!$C:$C,"ITEM0042",Data!$A:$A,DATE(2026,5,6)),"")</f>
        <v/>
      </c>
      <c r="I5" s="130">
        <f>IFERROR(SUMIFS(Data!$F:$F,Data!$B:$B,"อโศก",Data!$C:$C,"ITEM0042",Data!$A:$A,DATE(2026,5,7)),"")</f>
        <v/>
      </c>
      <c r="J5" s="130">
        <f>IFERROR(SUMIFS(Data!$F:$F,Data!$B:$B,"อโศก",Data!$C:$C,"ITEM0042",Data!$A:$A,DATE(2026,5,8)),"")</f>
        <v/>
      </c>
      <c r="K5" s="130">
        <f>IFERROR(SUMIFS(Data!$F:$F,Data!$B:$B,"อโศก",Data!$C:$C,"ITEM0042",Data!$A:$A,DATE(2026,5,9)),"")</f>
        <v/>
      </c>
      <c r="L5" s="130">
        <f>IFERROR(SUMIFS(Data!$F:$F,Data!$B:$B,"อโศก",Data!$C:$C,"ITEM0042",Data!$A:$A,DATE(2026,5,10)),"")</f>
        <v/>
      </c>
      <c r="M5" s="130">
        <f>IFERROR(SUMIFS(Data!$F:$F,Data!$B:$B,"อโศก",Data!$C:$C,"ITEM0042",Data!$A:$A,DATE(2026,5,11)),"")</f>
        <v/>
      </c>
      <c r="N5" s="130">
        <f>IFERROR(SUMIFS(Data!$F:$F,Data!$B:$B,"อโศก",Data!$C:$C,"ITEM0042",Data!$A:$A,DATE(2026,5,12)),"")</f>
        <v/>
      </c>
      <c r="O5" s="130">
        <f>IFERROR(SUMIFS(Data!$F:$F,Data!$B:$B,"อโศก",Data!$C:$C,"ITEM0042",Data!$A:$A,DATE(2026,5,13)),"")</f>
        <v/>
      </c>
      <c r="P5" s="130">
        <f>IFERROR(SUMIFS(Data!$F:$F,Data!$B:$B,"อโศก",Data!$C:$C,"ITEM0042",Data!$A:$A,DATE(2026,5,14)),"")</f>
        <v/>
      </c>
      <c r="Q5" s="130">
        <f>IFERROR(SUMIFS(Data!$F:$F,Data!$B:$B,"อโศก",Data!$C:$C,"ITEM0042",Data!$A:$A,DATE(2026,5,15)),"")</f>
        <v/>
      </c>
      <c r="R5" s="130">
        <f>IFERROR(SUMIFS(Data!$F:$F,Data!$B:$B,"อโศก",Data!$C:$C,"ITEM0042",Data!$A:$A,DATE(2026,5,16)),"")</f>
        <v/>
      </c>
      <c r="S5" s="130">
        <f>IFERROR(SUMIFS(Data!$F:$F,Data!$B:$B,"อโศก",Data!$C:$C,"ITEM0042",Data!$A:$A,DATE(2026,5,17)),"")</f>
        <v/>
      </c>
      <c r="T5" s="130">
        <f>IFERROR(SUMIFS(Data!$F:$F,Data!$B:$B,"อโศก",Data!$C:$C,"ITEM0042",Data!$A:$A,DATE(2026,5,18)),"")</f>
        <v/>
      </c>
      <c r="U5" s="130">
        <f>IFERROR(SUMIFS(Data!$F:$F,Data!$B:$B,"อโศก",Data!$C:$C,"ITEM0042",Data!$A:$A,DATE(2026,5,19)),"")</f>
        <v/>
      </c>
      <c r="V5" s="130">
        <f>IFERROR(SUMIFS(Data!$F:$F,Data!$B:$B,"อโศก",Data!$C:$C,"ITEM0042",Data!$A:$A,DATE(2026,5,20)),"")</f>
        <v/>
      </c>
      <c r="W5" s="130">
        <f>IFERROR(SUMIFS(Data!$F:$F,Data!$B:$B,"อโศก",Data!$C:$C,"ITEM0042",Data!$A:$A,DATE(2026,5,21)),"")</f>
        <v/>
      </c>
      <c r="X5" s="130">
        <f>IFERROR(SUMIFS(Data!$F:$F,Data!$B:$B,"อโศก",Data!$C:$C,"ITEM0042",Data!$A:$A,DATE(2026,5,22)),"")</f>
        <v/>
      </c>
      <c r="Y5" s="130">
        <f>IFERROR(SUMIFS(Data!$F:$F,Data!$B:$B,"อโศก",Data!$C:$C,"ITEM0042",Data!$A:$A,DATE(2026,5,23)),"")</f>
        <v/>
      </c>
      <c r="Z5" s="130">
        <f>IFERROR(SUMIFS(Data!$F:$F,Data!$B:$B,"อโศก",Data!$C:$C,"ITEM0042",Data!$A:$A,DATE(2026,5,24)),"")</f>
        <v/>
      </c>
      <c r="AA5" s="130">
        <f>IFERROR(SUMIFS(Data!$F:$F,Data!$B:$B,"อโศก",Data!$C:$C,"ITEM0042",Data!$A:$A,DATE(2026,5,25)),"")</f>
        <v/>
      </c>
      <c r="AB5" s="130">
        <f>IFERROR(SUMIFS(Data!$F:$F,Data!$B:$B,"อโศก",Data!$C:$C,"ITEM0042",Data!$A:$A,DATE(2026,5,26)),"")</f>
        <v/>
      </c>
      <c r="AC5" s="130">
        <f>IFERROR(SUMIFS(Data!$F:$F,Data!$B:$B,"อโศก",Data!$C:$C,"ITEM0042",Data!$A:$A,DATE(2026,5,27)),"")</f>
        <v/>
      </c>
      <c r="AD5" s="130">
        <f>IFERROR(SUMIFS(Data!$F:$F,Data!$B:$B,"อโศก",Data!$C:$C,"ITEM0042",Data!$A:$A,DATE(2026,5,28)),"")</f>
        <v/>
      </c>
      <c r="AE5" s="130">
        <f>IFERROR(SUMIFS(Data!$F:$F,Data!$B:$B,"อโศก",Data!$C:$C,"ITEM0042",Data!$A:$A,DATE(2026,5,29)),"")</f>
        <v/>
      </c>
      <c r="AF5" s="130">
        <f>IFERROR(SUMIFS(Data!$F:$F,Data!$B:$B,"อโศก",Data!$C:$C,"ITEM0042",Data!$A:$A,DATE(2026,5,30)),"")</f>
        <v/>
      </c>
      <c r="AG5" s="130">
        <f>IFERROR(SUMIFS(Data!$F:$F,Data!$B:$B,"อโศก",Data!$C:$C,"ITEM0042",Data!$A:$A,DATE(2026,5,31)),"")</f>
        <v/>
      </c>
      <c r="AH5" s="67">
        <f>IFERROR(SUM(C5:AG5),0)</f>
        <v/>
      </c>
      <c r="AI5" s="67">
        <f>AH5*5</f>
        <v/>
      </c>
      <c r="AJ5" s="131">
        <f>IFERROR(AI5/AI20,0)</f>
        <v/>
      </c>
    </row>
    <row r="6" ht="19" customHeight="1" s="87">
      <c r="A6" s="69" t="inlineStr">
        <is>
          <t>ITEM0179</t>
        </is>
      </c>
      <c r="B6" s="70" t="inlineStr">
        <is>
          <t>22 ค่าอาหาร (15 บาท)</t>
        </is>
      </c>
      <c r="C6" s="132">
        <f>IFERROR(SUMIFS(Data!$F:$F,Data!$B:$B,"อโศก",Data!$C:$C,"ITEM0179",Data!$A:$A,DATE(2026,5,1)),"")</f>
        <v/>
      </c>
      <c r="D6" s="132">
        <f>IFERROR(SUMIFS(Data!$F:$F,Data!$B:$B,"อโศก",Data!$C:$C,"ITEM0179",Data!$A:$A,DATE(2026,5,2)),"")</f>
        <v/>
      </c>
      <c r="E6" s="132">
        <f>IFERROR(SUMIFS(Data!$F:$F,Data!$B:$B,"อโศก",Data!$C:$C,"ITEM0179",Data!$A:$A,DATE(2026,5,3)),"")</f>
        <v/>
      </c>
      <c r="F6" s="132">
        <f>IFERROR(SUMIFS(Data!$F:$F,Data!$B:$B,"อโศก",Data!$C:$C,"ITEM0179",Data!$A:$A,DATE(2026,5,4)),"")</f>
        <v/>
      </c>
      <c r="G6" s="132">
        <f>IFERROR(SUMIFS(Data!$F:$F,Data!$B:$B,"อโศก",Data!$C:$C,"ITEM0179",Data!$A:$A,DATE(2026,5,5)),"")</f>
        <v/>
      </c>
      <c r="H6" s="132">
        <f>IFERROR(SUMIFS(Data!$F:$F,Data!$B:$B,"อโศก",Data!$C:$C,"ITEM0179",Data!$A:$A,DATE(2026,5,6)),"")</f>
        <v/>
      </c>
      <c r="I6" s="132">
        <f>IFERROR(SUMIFS(Data!$F:$F,Data!$B:$B,"อโศก",Data!$C:$C,"ITEM0179",Data!$A:$A,DATE(2026,5,7)),"")</f>
        <v/>
      </c>
      <c r="J6" s="132">
        <f>IFERROR(SUMIFS(Data!$F:$F,Data!$B:$B,"อโศก",Data!$C:$C,"ITEM0179",Data!$A:$A,DATE(2026,5,8)),"")</f>
        <v/>
      </c>
      <c r="K6" s="132">
        <f>IFERROR(SUMIFS(Data!$F:$F,Data!$B:$B,"อโศก",Data!$C:$C,"ITEM0179",Data!$A:$A,DATE(2026,5,9)),"")</f>
        <v/>
      </c>
      <c r="L6" s="132">
        <f>IFERROR(SUMIFS(Data!$F:$F,Data!$B:$B,"อโศก",Data!$C:$C,"ITEM0179",Data!$A:$A,DATE(2026,5,10)),"")</f>
        <v/>
      </c>
      <c r="M6" s="132">
        <f>IFERROR(SUMIFS(Data!$F:$F,Data!$B:$B,"อโศก",Data!$C:$C,"ITEM0179",Data!$A:$A,DATE(2026,5,11)),"")</f>
        <v/>
      </c>
      <c r="N6" s="132">
        <f>IFERROR(SUMIFS(Data!$F:$F,Data!$B:$B,"อโศก",Data!$C:$C,"ITEM0179",Data!$A:$A,DATE(2026,5,12)),"")</f>
        <v/>
      </c>
      <c r="O6" s="132">
        <f>IFERROR(SUMIFS(Data!$F:$F,Data!$B:$B,"อโศก",Data!$C:$C,"ITEM0179",Data!$A:$A,DATE(2026,5,13)),"")</f>
        <v/>
      </c>
      <c r="P6" s="132">
        <f>IFERROR(SUMIFS(Data!$F:$F,Data!$B:$B,"อโศก",Data!$C:$C,"ITEM0179",Data!$A:$A,DATE(2026,5,14)),"")</f>
        <v/>
      </c>
      <c r="Q6" s="132">
        <f>IFERROR(SUMIFS(Data!$F:$F,Data!$B:$B,"อโศก",Data!$C:$C,"ITEM0179",Data!$A:$A,DATE(2026,5,15)),"")</f>
        <v/>
      </c>
      <c r="R6" s="132">
        <f>IFERROR(SUMIFS(Data!$F:$F,Data!$B:$B,"อโศก",Data!$C:$C,"ITEM0179",Data!$A:$A,DATE(2026,5,16)),"")</f>
        <v/>
      </c>
      <c r="S6" s="132">
        <f>IFERROR(SUMIFS(Data!$F:$F,Data!$B:$B,"อโศก",Data!$C:$C,"ITEM0179",Data!$A:$A,DATE(2026,5,17)),"")</f>
        <v/>
      </c>
      <c r="T6" s="132">
        <f>IFERROR(SUMIFS(Data!$F:$F,Data!$B:$B,"อโศก",Data!$C:$C,"ITEM0179",Data!$A:$A,DATE(2026,5,18)),"")</f>
        <v/>
      </c>
      <c r="U6" s="132">
        <f>IFERROR(SUMIFS(Data!$F:$F,Data!$B:$B,"อโศก",Data!$C:$C,"ITEM0179",Data!$A:$A,DATE(2026,5,19)),"")</f>
        <v/>
      </c>
      <c r="V6" s="132">
        <f>IFERROR(SUMIFS(Data!$F:$F,Data!$B:$B,"อโศก",Data!$C:$C,"ITEM0179",Data!$A:$A,DATE(2026,5,20)),"")</f>
        <v/>
      </c>
      <c r="W6" s="132">
        <f>IFERROR(SUMIFS(Data!$F:$F,Data!$B:$B,"อโศก",Data!$C:$C,"ITEM0179",Data!$A:$A,DATE(2026,5,21)),"")</f>
        <v/>
      </c>
      <c r="X6" s="132">
        <f>IFERROR(SUMIFS(Data!$F:$F,Data!$B:$B,"อโศก",Data!$C:$C,"ITEM0179",Data!$A:$A,DATE(2026,5,22)),"")</f>
        <v/>
      </c>
      <c r="Y6" s="132">
        <f>IFERROR(SUMIFS(Data!$F:$F,Data!$B:$B,"อโศก",Data!$C:$C,"ITEM0179",Data!$A:$A,DATE(2026,5,23)),"")</f>
        <v/>
      </c>
      <c r="Z6" s="132">
        <f>IFERROR(SUMIFS(Data!$F:$F,Data!$B:$B,"อโศก",Data!$C:$C,"ITEM0179",Data!$A:$A,DATE(2026,5,24)),"")</f>
        <v/>
      </c>
      <c r="AA6" s="132">
        <f>IFERROR(SUMIFS(Data!$F:$F,Data!$B:$B,"อโศก",Data!$C:$C,"ITEM0179",Data!$A:$A,DATE(2026,5,25)),"")</f>
        <v/>
      </c>
      <c r="AB6" s="132">
        <f>IFERROR(SUMIFS(Data!$F:$F,Data!$B:$B,"อโศก",Data!$C:$C,"ITEM0179",Data!$A:$A,DATE(2026,5,26)),"")</f>
        <v/>
      </c>
      <c r="AC6" s="132">
        <f>IFERROR(SUMIFS(Data!$F:$F,Data!$B:$B,"อโศก",Data!$C:$C,"ITEM0179",Data!$A:$A,DATE(2026,5,27)),"")</f>
        <v/>
      </c>
      <c r="AD6" s="132">
        <f>IFERROR(SUMIFS(Data!$F:$F,Data!$B:$B,"อโศก",Data!$C:$C,"ITEM0179",Data!$A:$A,DATE(2026,5,28)),"")</f>
        <v/>
      </c>
      <c r="AE6" s="132">
        <f>IFERROR(SUMIFS(Data!$F:$F,Data!$B:$B,"อโศก",Data!$C:$C,"ITEM0179",Data!$A:$A,DATE(2026,5,29)),"")</f>
        <v/>
      </c>
      <c r="AF6" s="132">
        <f>IFERROR(SUMIFS(Data!$F:$F,Data!$B:$B,"อโศก",Data!$C:$C,"ITEM0179",Data!$A:$A,DATE(2026,5,30)),"")</f>
        <v/>
      </c>
      <c r="AG6" s="132">
        <f>IFERROR(SUMIFS(Data!$F:$F,Data!$B:$B,"อโศก",Data!$C:$C,"ITEM0179",Data!$A:$A,DATE(2026,5,31)),"")</f>
        <v/>
      </c>
      <c r="AH6" s="72">
        <f>IFERROR(SUM(C6:AG6),0)</f>
        <v/>
      </c>
      <c r="AI6" s="72">
        <f>AH6*15</f>
        <v/>
      </c>
      <c r="AJ6" s="133">
        <f>IFERROR(AI6/AI20,0)</f>
        <v/>
      </c>
    </row>
    <row r="7" ht="19" customHeight="1" s="87">
      <c r="A7" s="74" t="inlineStr">
        <is>
          <t>ITEM0180</t>
        </is>
      </c>
      <c r="B7" s="75" t="inlineStr">
        <is>
          <t>23 ค่าอาหาร (20 บาท)</t>
        </is>
      </c>
      <c r="C7" s="134">
        <f>IFERROR(SUMIFS(Data!$F:$F,Data!$B:$B,"อโศก",Data!$C:$C,"ITEM0180",Data!$A:$A,DATE(2026,5,1)),"")</f>
        <v/>
      </c>
      <c r="D7" s="134">
        <f>IFERROR(SUMIFS(Data!$F:$F,Data!$B:$B,"อโศก",Data!$C:$C,"ITEM0180",Data!$A:$A,DATE(2026,5,2)),"")</f>
        <v/>
      </c>
      <c r="E7" s="134">
        <f>IFERROR(SUMIFS(Data!$F:$F,Data!$B:$B,"อโศก",Data!$C:$C,"ITEM0180",Data!$A:$A,DATE(2026,5,3)),"")</f>
        <v/>
      </c>
      <c r="F7" s="134">
        <f>IFERROR(SUMIFS(Data!$F:$F,Data!$B:$B,"อโศก",Data!$C:$C,"ITEM0180",Data!$A:$A,DATE(2026,5,4)),"")</f>
        <v/>
      </c>
      <c r="G7" s="134">
        <f>IFERROR(SUMIFS(Data!$F:$F,Data!$B:$B,"อโศก",Data!$C:$C,"ITEM0180",Data!$A:$A,DATE(2026,5,5)),"")</f>
        <v/>
      </c>
      <c r="H7" s="134">
        <f>IFERROR(SUMIFS(Data!$F:$F,Data!$B:$B,"อโศก",Data!$C:$C,"ITEM0180",Data!$A:$A,DATE(2026,5,6)),"")</f>
        <v/>
      </c>
      <c r="I7" s="134">
        <f>IFERROR(SUMIFS(Data!$F:$F,Data!$B:$B,"อโศก",Data!$C:$C,"ITEM0180",Data!$A:$A,DATE(2026,5,7)),"")</f>
        <v/>
      </c>
      <c r="J7" s="134">
        <f>IFERROR(SUMIFS(Data!$F:$F,Data!$B:$B,"อโศก",Data!$C:$C,"ITEM0180",Data!$A:$A,DATE(2026,5,8)),"")</f>
        <v/>
      </c>
      <c r="K7" s="134">
        <f>IFERROR(SUMIFS(Data!$F:$F,Data!$B:$B,"อโศก",Data!$C:$C,"ITEM0180",Data!$A:$A,DATE(2026,5,9)),"")</f>
        <v/>
      </c>
      <c r="L7" s="134">
        <f>IFERROR(SUMIFS(Data!$F:$F,Data!$B:$B,"อโศก",Data!$C:$C,"ITEM0180",Data!$A:$A,DATE(2026,5,10)),"")</f>
        <v/>
      </c>
      <c r="M7" s="134">
        <f>IFERROR(SUMIFS(Data!$F:$F,Data!$B:$B,"อโศก",Data!$C:$C,"ITEM0180",Data!$A:$A,DATE(2026,5,11)),"")</f>
        <v/>
      </c>
      <c r="N7" s="134">
        <f>IFERROR(SUMIFS(Data!$F:$F,Data!$B:$B,"อโศก",Data!$C:$C,"ITEM0180",Data!$A:$A,DATE(2026,5,12)),"")</f>
        <v/>
      </c>
      <c r="O7" s="134">
        <f>IFERROR(SUMIFS(Data!$F:$F,Data!$B:$B,"อโศก",Data!$C:$C,"ITEM0180",Data!$A:$A,DATE(2026,5,13)),"")</f>
        <v/>
      </c>
      <c r="P7" s="134">
        <f>IFERROR(SUMIFS(Data!$F:$F,Data!$B:$B,"อโศก",Data!$C:$C,"ITEM0180",Data!$A:$A,DATE(2026,5,14)),"")</f>
        <v/>
      </c>
      <c r="Q7" s="134">
        <f>IFERROR(SUMIFS(Data!$F:$F,Data!$B:$B,"อโศก",Data!$C:$C,"ITEM0180",Data!$A:$A,DATE(2026,5,15)),"")</f>
        <v/>
      </c>
      <c r="R7" s="134">
        <f>IFERROR(SUMIFS(Data!$F:$F,Data!$B:$B,"อโศก",Data!$C:$C,"ITEM0180",Data!$A:$A,DATE(2026,5,16)),"")</f>
        <v/>
      </c>
      <c r="S7" s="134">
        <f>IFERROR(SUMIFS(Data!$F:$F,Data!$B:$B,"อโศก",Data!$C:$C,"ITEM0180",Data!$A:$A,DATE(2026,5,17)),"")</f>
        <v/>
      </c>
      <c r="T7" s="134">
        <f>IFERROR(SUMIFS(Data!$F:$F,Data!$B:$B,"อโศก",Data!$C:$C,"ITEM0180",Data!$A:$A,DATE(2026,5,18)),"")</f>
        <v/>
      </c>
      <c r="U7" s="134">
        <f>IFERROR(SUMIFS(Data!$F:$F,Data!$B:$B,"อโศก",Data!$C:$C,"ITEM0180",Data!$A:$A,DATE(2026,5,19)),"")</f>
        <v/>
      </c>
      <c r="V7" s="134">
        <f>IFERROR(SUMIFS(Data!$F:$F,Data!$B:$B,"อโศก",Data!$C:$C,"ITEM0180",Data!$A:$A,DATE(2026,5,20)),"")</f>
        <v/>
      </c>
      <c r="W7" s="134">
        <f>IFERROR(SUMIFS(Data!$F:$F,Data!$B:$B,"อโศก",Data!$C:$C,"ITEM0180",Data!$A:$A,DATE(2026,5,21)),"")</f>
        <v/>
      </c>
      <c r="X7" s="134">
        <f>IFERROR(SUMIFS(Data!$F:$F,Data!$B:$B,"อโศก",Data!$C:$C,"ITEM0180",Data!$A:$A,DATE(2026,5,22)),"")</f>
        <v/>
      </c>
      <c r="Y7" s="134">
        <f>IFERROR(SUMIFS(Data!$F:$F,Data!$B:$B,"อโศก",Data!$C:$C,"ITEM0180",Data!$A:$A,DATE(2026,5,23)),"")</f>
        <v/>
      </c>
      <c r="Z7" s="134">
        <f>IFERROR(SUMIFS(Data!$F:$F,Data!$B:$B,"อโศก",Data!$C:$C,"ITEM0180",Data!$A:$A,DATE(2026,5,24)),"")</f>
        <v/>
      </c>
      <c r="AA7" s="134">
        <f>IFERROR(SUMIFS(Data!$F:$F,Data!$B:$B,"อโศก",Data!$C:$C,"ITEM0180",Data!$A:$A,DATE(2026,5,25)),"")</f>
        <v/>
      </c>
      <c r="AB7" s="134">
        <f>IFERROR(SUMIFS(Data!$F:$F,Data!$B:$B,"อโศก",Data!$C:$C,"ITEM0180",Data!$A:$A,DATE(2026,5,26)),"")</f>
        <v/>
      </c>
      <c r="AC7" s="134">
        <f>IFERROR(SUMIFS(Data!$F:$F,Data!$B:$B,"อโศก",Data!$C:$C,"ITEM0180",Data!$A:$A,DATE(2026,5,27)),"")</f>
        <v/>
      </c>
      <c r="AD7" s="134">
        <f>IFERROR(SUMIFS(Data!$F:$F,Data!$B:$B,"อโศก",Data!$C:$C,"ITEM0180",Data!$A:$A,DATE(2026,5,28)),"")</f>
        <v/>
      </c>
      <c r="AE7" s="134">
        <f>IFERROR(SUMIFS(Data!$F:$F,Data!$B:$B,"อโศก",Data!$C:$C,"ITEM0180",Data!$A:$A,DATE(2026,5,29)),"")</f>
        <v/>
      </c>
      <c r="AF7" s="134">
        <f>IFERROR(SUMIFS(Data!$F:$F,Data!$B:$B,"อโศก",Data!$C:$C,"ITEM0180",Data!$A:$A,DATE(2026,5,30)),"")</f>
        <v/>
      </c>
      <c r="AG7" s="134">
        <f>IFERROR(SUMIFS(Data!$F:$F,Data!$B:$B,"อโศก",Data!$C:$C,"ITEM0180",Data!$A:$A,DATE(2026,5,31)),"")</f>
        <v/>
      </c>
      <c r="AH7" s="77">
        <f>IFERROR(SUM(C7:AG7),0)</f>
        <v/>
      </c>
      <c r="AI7" s="77">
        <f>AH7*20</f>
        <v/>
      </c>
      <c r="AJ7" s="135">
        <f>IFERROR(AI7/AI20,0)</f>
        <v/>
      </c>
    </row>
    <row r="8" ht="19" customHeight="1" s="87">
      <c r="A8" s="69" t="inlineStr">
        <is>
          <t>ITEM0181</t>
        </is>
      </c>
      <c r="B8" s="70" t="inlineStr">
        <is>
          <t>24 ค่าอาหาร (30 บาท)</t>
        </is>
      </c>
      <c r="C8" s="132">
        <f>IFERROR(SUMIFS(Data!$F:$F,Data!$B:$B,"อโศก",Data!$C:$C,"ITEM0181",Data!$A:$A,DATE(2026,5,1)),"")</f>
        <v/>
      </c>
      <c r="D8" s="132">
        <f>IFERROR(SUMIFS(Data!$F:$F,Data!$B:$B,"อโศก",Data!$C:$C,"ITEM0181",Data!$A:$A,DATE(2026,5,2)),"")</f>
        <v/>
      </c>
      <c r="E8" s="132">
        <f>IFERROR(SUMIFS(Data!$F:$F,Data!$B:$B,"อโศก",Data!$C:$C,"ITEM0181",Data!$A:$A,DATE(2026,5,3)),"")</f>
        <v/>
      </c>
      <c r="F8" s="132">
        <f>IFERROR(SUMIFS(Data!$F:$F,Data!$B:$B,"อโศก",Data!$C:$C,"ITEM0181",Data!$A:$A,DATE(2026,5,4)),"")</f>
        <v/>
      </c>
      <c r="G8" s="132">
        <f>IFERROR(SUMIFS(Data!$F:$F,Data!$B:$B,"อโศก",Data!$C:$C,"ITEM0181",Data!$A:$A,DATE(2026,5,5)),"")</f>
        <v/>
      </c>
      <c r="H8" s="132">
        <f>IFERROR(SUMIFS(Data!$F:$F,Data!$B:$B,"อโศก",Data!$C:$C,"ITEM0181",Data!$A:$A,DATE(2026,5,6)),"")</f>
        <v/>
      </c>
      <c r="I8" s="132">
        <f>IFERROR(SUMIFS(Data!$F:$F,Data!$B:$B,"อโศก",Data!$C:$C,"ITEM0181",Data!$A:$A,DATE(2026,5,7)),"")</f>
        <v/>
      </c>
      <c r="J8" s="132">
        <f>IFERROR(SUMIFS(Data!$F:$F,Data!$B:$B,"อโศก",Data!$C:$C,"ITEM0181",Data!$A:$A,DATE(2026,5,8)),"")</f>
        <v/>
      </c>
      <c r="K8" s="132">
        <f>IFERROR(SUMIFS(Data!$F:$F,Data!$B:$B,"อโศก",Data!$C:$C,"ITEM0181",Data!$A:$A,DATE(2026,5,9)),"")</f>
        <v/>
      </c>
      <c r="L8" s="132">
        <f>IFERROR(SUMIFS(Data!$F:$F,Data!$B:$B,"อโศก",Data!$C:$C,"ITEM0181",Data!$A:$A,DATE(2026,5,10)),"")</f>
        <v/>
      </c>
      <c r="M8" s="132">
        <f>IFERROR(SUMIFS(Data!$F:$F,Data!$B:$B,"อโศก",Data!$C:$C,"ITEM0181",Data!$A:$A,DATE(2026,5,11)),"")</f>
        <v/>
      </c>
      <c r="N8" s="132">
        <f>IFERROR(SUMIFS(Data!$F:$F,Data!$B:$B,"อโศก",Data!$C:$C,"ITEM0181",Data!$A:$A,DATE(2026,5,12)),"")</f>
        <v/>
      </c>
      <c r="O8" s="132">
        <f>IFERROR(SUMIFS(Data!$F:$F,Data!$B:$B,"อโศก",Data!$C:$C,"ITEM0181",Data!$A:$A,DATE(2026,5,13)),"")</f>
        <v/>
      </c>
      <c r="P8" s="132">
        <f>IFERROR(SUMIFS(Data!$F:$F,Data!$B:$B,"อโศก",Data!$C:$C,"ITEM0181",Data!$A:$A,DATE(2026,5,14)),"")</f>
        <v/>
      </c>
      <c r="Q8" s="132">
        <f>IFERROR(SUMIFS(Data!$F:$F,Data!$B:$B,"อโศก",Data!$C:$C,"ITEM0181",Data!$A:$A,DATE(2026,5,15)),"")</f>
        <v/>
      </c>
      <c r="R8" s="132">
        <f>IFERROR(SUMIFS(Data!$F:$F,Data!$B:$B,"อโศก",Data!$C:$C,"ITEM0181",Data!$A:$A,DATE(2026,5,16)),"")</f>
        <v/>
      </c>
      <c r="S8" s="132">
        <f>IFERROR(SUMIFS(Data!$F:$F,Data!$B:$B,"อโศก",Data!$C:$C,"ITEM0181",Data!$A:$A,DATE(2026,5,17)),"")</f>
        <v/>
      </c>
      <c r="T8" s="132">
        <f>IFERROR(SUMIFS(Data!$F:$F,Data!$B:$B,"อโศก",Data!$C:$C,"ITEM0181",Data!$A:$A,DATE(2026,5,18)),"")</f>
        <v/>
      </c>
      <c r="U8" s="132">
        <f>IFERROR(SUMIFS(Data!$F:$F,Data!$B:$B,"อโศก",Data!$C:$C,"ITEM0181",Data!$A:$A,DATE(2026,5,19)),"")</f>
        <v/>
      </c>
      <c r="V8" s="132">
        <f>IFERROR(SUMIFS(Data!$F:$F,Data!$B:$B,"อโศก",Data!$C:$C,"ITEM0181",Data!$A:$A,DATE(2026,5,20)),"")</f>
        <v/>
      </c>
      <c r="W8" s="132">
        <f>IFERROR(SUMIFS(Data!$F:$F,Data!$B:$B,"อโศก",Data!$C:$C,"ITEM0181",Data!$A:$A,DATE(2026,5,21)),"")</f>
        <v/>
      </c>
      <c r="X8" s="132">
        <f>IFERROR(SUMIFS(Data!$F:$F,Data!$B:$B,"อโศก",Data!$C:$C,"ITEM0181",Data!$A:$A,DATE(2026,5,22)),"")</f>
        <v/>
      </c>
      <c r="Y8" s="132">
        <f>IFERROR(SUMIFS(Data!$F:$F,Data!$B:$B,"อโศก",Data!$C:$C,"ITEM0181",Data!$A:$A,DATE(2026,5,23)),"")</f>
        <v/>
      </c>
      <c r="Z8" s="132">
        <f>IFERROR(SUMIFS(Data!$F:$F,Data!$B:$B,"อโศก",Data!$C:$C,"ITEM0181",Data!$A:$A,DATE(2026,5,24)),"")</f>
        <v/>
      </c>
      <c r="AA8" s="132">
        <f>IFERROR(SUMIFS(Data!$F:$F,Data!$B:$B,"อโศก",Data!$C:$C,"ITEM0181",Data!$A:$A,DATE(2026,5,25)),"")</f>
        <v/>
      </c>
      <c r="AB8" s="132">
        <f>IFERROR(SUMIFS(Data!$F:$F,Data!$B:$B,"อโศก",Data!$C:$C,"ITEM0181",Data!$A:$A,DATE(2026,5,26)),"")</f>
        <v/>
      </c>
      <c r="AC8" s="132">
        <f>IFERROR(SUMIFS(Data!$F:$F,Data!$B:$B,"อโศก",Data!$C:$C,"ITEM0181",Data!$A:$A,DATE(2026,5,27)),"")</f>
        <v/>
      </c>
      <c r="AD8" s="132">
        <f>IFERROR(SUMIFS(Data!$F:$F,Data!$B:$B,"อโศก",Data!$C:$C,"ITEM0181",Data!$A:$A,DATE(2026,5,28)),"")</f>
        <v/>
      </c>
      <c r="AE8" s="132">
        <f>IFERROR(SUMIFS(Data!$F:$F,Data!$B:$B,"อโศก",Data!$C:$C,"ITEM0181",Data!$A:$A,DATE(2026,5,29)),"")</f>
        <v/>
      </c>
      <c r="AF8" s="132">
        <f>IFERROR(SUMIFS(Data!$F:$F,Data!$B:$B,"อโศก",Data!$C:$C,"ITEM0181",Data!$A:$A,DATE(2026,5,30)),"")</f>
        <v/>
      </c>
      <c r="AG8" s="132">
        <f>IFERROR(SUMIFS(Data!$F:$F,Data!$B:$B,"อโศก",Data!$C:$C,"ITEM0181",Data!$A:$A,DATE(2026,5,31)),"")</f>
        <v/>
      </c>
      <c r="AH8" s="72">
        <f>IFERROR(SUM(C8:AG8),0)</f>
        <v/>
      </c>
      <c r="AI8" s="72">
        <f>AH8*30</f>
        <v/>
      </c>
      <c r="AJ8" s="133">
        <f>IFERROR(AI8/AI20,0)</f>
        <v/>
      </c>
    </row>
    <row r="9" ht="19" customHeight="1" s="87">
      <c r="A9" s="74" t="inlineStr">
        <is>
          <t>ITEM0941</t>
        </is>
      </c>
      <c r="B9" s="75" t="inlineStr">
        <is>
          <t>ข้าวมันไก่สิงคโปร์</t>
        </is>
      </c>
      <c r="C9" s="134">
        <f>IFERROR(SUMIFS(Data!$F:$F,Data!$B:$B,"อโศก",Data!$C:$C,"ITEM0941",Data!$A:$A,DATE(2026,5,1)),"")</f>
        <v/>
      </c>
      <c r="D9" s="134">
        <f>IFERROR(SUMIFS(Data!$F:$F,Data!$B:$B,"อโศก",Data!$C:$C,"ITEM0941",Data!$A:$A,DATE(2026,5,2)),"")</f>
        <v/>
      </c>
      <c r="E9" s="134">
        <f>IFERROR(SUMIFS(Data!$F:$F,Data!$B:$B,"อโศก",Data!$C:$C,"ITEM0941",Data!$A:$A,DATE(2026,5,3)),"")</f>
        <v/>
      </c>
      <c r="F9" s="134">
        <f>IFERROR(SUMIFS(Data!$F:$F,Data!$B:$B,"อโศก",Data!$C:$C,"ITEM0941",Data!$A:$A,DATE(2026,5,4)),"")</f>
        <v/>
      </c>
      <c r="G9" s="134">
        <f>IFERROR(SUMIFS(Data!$F:$F,Data!$B:$B,"อโศก",Data!$C:$C,"ITEM0941",Data!$A:$A,DATE(2026,5,5)),"")</f>
        <v/>
      </c>
      <c r="H9" s="134">
        <f>IFERROR(SUMIFS(Data!$F:$F,Data!$B:$B,"อโศก",Data!$C:$C,"ITEM0941",Data!$A:$A,DATE(2026,5,6)),"")</f>
        <v/>
      </c>
      <c r="I9" s="134">
        <f>IFERROR(SUMIFS(Data!$F:$F,Data!$B:$B,"อโศก",Data!$C:$C,"ITEM0941",Data!$A:$A,DATE(2026,5,7)),"")</f>
        <v/>
      </c>
      <c r="J9" s="134">
        <f>IFERROR(SUMIFS(Data!$F:$F,Data!$B:$B,"อโศก",Data!$C:$C,"ITEM0941",Data!$A:$A,DATE(2026,5,8)),"")</f>
        <v/>
      </c>
      <c r="K9" s="134">
        <f>IFERROR(SUMIFS(Data!$F:$F,Data!$B:$B,"อโศก",Data!$C:$C,"ITEM0941",Data!$A:$A,DATE(2026,5,9)),"")</f>
        <v/>
      </c>
      <c r="L9" s="134">
        <f>IFERROR(SUMIFS(Data!$F:$F,Data!$B:$B,"อโศก",Data!$C:$C,"ITEM0941",Data!$A:$A,DATE(2026,5,10)),"")</f>
        <v/>
      </c>
      <c r="M9" s="134">
        <f>IFERROR(SUMIFS(Data!$F:$F,Data!$B:$B,"อโศก",Data!$C:$C,"ITEM0941",Data!$A:$A,DATE(2026,5,11)),"")</f>
        <v/>
      </c>
      <c r="N9" s="134">
        <f>IFERROR(SUMIFS(Data!$F:$F,Data!$B:$B,"อโศก",Data!$C:$C,"ITEM0941",Data!$A:$A,DATE(2026,5,12)),"")</f>
        <v/>
      </c>
      <c r="O9" s="134">
        <f>IFERROR(SUMIFS(Data!$F:$F,Data!$B:$B,"อโศก",Data!$C:$C,"ITEM0941",Data!$A:$A,DATE(2026,5,13)),"")</f>
        <v/>
      </c>
      <c r="P9" s="134">
        <f>IFERROR(SUMIFS(Data!$F:$F,Data!$B:$B,"อโศก",Data!$C:$C,"ITEM0941",Data!$A:$A,DATE(2026,5,14)),"")</f>
        <v/>
      </c>
      <c r="Q9" s="134">
        <f>IFERROR(SUMIFS(Data!$F:$F,Data!$B:$B,"อโศก",Data!$C:$C,"ITEM0941",Data!$A:$A,DATE(2026,5,15)),"")</f>
        <v/>
      </c>
      <c r="R9" s="134">
        <f>IFERROR(SUMIFS(Data!$F:$F,Data!$B:$B,"อโศก",Data!$C:$C,"ITEM0941",Data!$A:$A,DATE(2026,5,16)),"")</f>
        <v/>
      </c>
      <c r="S9" s="134">
        <f>IFERROR(SUMIFS(Data!$F:$F,Data!$B:$B,"อโศก",Data!$C:$C,"ITEM0941",Data!$A:$A,DATE(2026,5,17)),"")</f>
        <v/>
      </c>
      <c r="T9" s="134">
        <f>IFERROR(SUMIFS(Data!$F:$F,Data!$B:$B,"อโศก",Data!$C:$C,"ITEM0941",Data!$A:$A,DATE(2026,5,18)),"")</f>
        <v/>
      </c>
      <c r="U9" s="134">
        <f>IFERROR(SUMIFS(Data!$F:$F,Data!$B:$B,"อโศก",Data!$C:$C,"ITEM0941",Data!$A:$A,DATE(2026,5,19)),"")</f>
        <v/>
      </c>
      <c r="V9" s="134">
        <f>IFERROR(SUMIFS(Data!$F:$F,Data!$B:$B,"อโศก",Data!$C:$C,"ITEM0941",Data!$A:$A,DATE(2026,5,20)),"")</f>
        <v/>
      </c>
      <c r="W9" s="134">
        <f>IFERROR(SUMIFS(Data!$F:$F,Data!$B:$B,"อโศก",Data!$C:$C,"ITEM0941",Data!$A:$A,DATE(2026,5,21)),"")</f>
        <v/>
      </c>
      <c r="X9" s="134">
        <f>IFERROR(SUMIFS(Data!$F:$F,Data!$B:$B,"อโศก",Data!$C:$C,"ITEM0941",Data!$A:$A,DATE(2026,5,22)),"")</f>
        <v/>
      </c>
      <c r="Y9" s="134">
        <f>IFERROR(SUMIFS(Data!$F:$F,Data!$B:$B,"อโศก",Data!$C:$C,"ITEM0941",Data!$A:$A,DATE(2026,5,23)),"")</f>
        <v/>
      </c>
      <c r="Z9" s="134">
        <f>IFERROR(SUMIFS(Data!$F:$F,Data!$B:$B,"อโศก",Data!$C:$C,"ITEM0941",Data!$A:$A,DATE(2026,5,24)),"")</f>
        <v/>
      </c>
      <c r="AA9" s="134">
        <f>IFERROR(SUMIFS(Data!$F:$F,Data!$B:$B,"อโศก",Data!$C:$C,"ITEM0941",Data!$A:$A,DATE(2026,5,25)),"")</f>
        <v/>
      </c>
      <c r="AB9" s="134">
        <f>IFERROR(SUMIFS(Data!$F:$F,Data!$B:$B,"อโศก",Data!$C:$C,"ITEM0941",Data!$A:$A,DATE(2026,5,26)),"")</f>
        <v/>
      </c>
      <c r="AC9" s="134">
        <f>IFERROR(SUMIFS(Data!$F:$F,Data!$B:$B,"อโศก",Data!$C:$C,"ITEM0941",Data!$A:$A,DATE(2026,5,27)),"")</f>
        <v/>
      </c>
      <c r="AD9" s="134">
        <f>IFERROR(SUMIFS(Data!$F:$F,Data!$B:$B,"อโศก",Data!$C:$C,"ITEM0941",Data!$A:$A,DATE(2026,5,28)),"")</f>
        <v/>
      </c>
      <c r="AE9" s="134">
        <f>IFERROR(SUMIFS(Data!$F:$F,Data!$B:$B,"อโศก",Data!$C:$C,"ITEM0941",Data!$A:$A,DATE(2026,5,29)),"")</f>
        <v/>
      </c>
      <c r="AF9" s="134">
        <f>IFERROR(SUMIFS(Data!$F:$F,Data!$B:$B,"อโศก",Data!$C:$C,"ITEM0941",Data!$A:$A,DATE(2026,5,30)),"")</f>
        <v/>
      </c>
      <c r="AG9" s="134">
        <f>IFERROR(SUMIFS(Data!$F:$F,Data!$B:$B,"อโศก",Data!$C:$C,"ITEM0941",Data!$A:$A,DATE(2026,5,31)),"")</f>
        <v/>
      </c>
      <c r="AH9" s="77">
        <f>IFERROR(SUM(C9:AG9),0)</f>
        <v/>
      </c>
      <c r="AI9" s="77">
        <f>AH9*57</f>
        <v/>
      </c>
      <c r="AJ9" s="135">
        <f>IFERROR(AI9/AI20,0)</f>
        <v/>
      </c>
    </row>
    <row r="10" ht="19" customHeight="1" s="87">
      <c r="A10" s="69" t="inlineStr">
        <is>
          <t>ITEM0942</t>
        </is>
      </c>
      <c r="B10" s="70" t="inlineStr">
        <is>
          <t>ข้าวมันไก่ต้ม</t>
        </is>
      </c>
      <c r="C10" s="132">
        <f>IFERROR(SUMIFS(Data!$F:$F,Data!$B:$B,"อโศก",Data!$C:$C,"ITEM0942",Data!$A:$A,DATE(2026,5,1)),"")</f>
        <v/>
      </c>
      <c r="D10" s="132">
        <f>IFERROR(SUMIFS(Data!$F:$F,Data!$B:$B,"อโศก",Data!$C:$C,"ITEM0942",Data!$A:$A,DATE(2026,5,2)),"")</f>
        <v/>
      </c>
      <c r="E10" s="132">
        <f>IFERROR(SUMIFS(Data!$F:$F,Data!$B:$B,"อโศก",Data!$C:$C,"ITEM0942",Data!$A:$A,DATE(2026,5,3)),"")</f>
        <v/>
      </c>
      <c r="F10" s="132">
        <f>IFERROR(SUMIFS(Data!$F:$F,Data!$B:$B,"อโศก",Data!$C:$C,"ITEM0942",Data!$A:$A,DATE(2026,5,4)),"")</f>
        <v/>
      </c>
      <c r="G10" s="132">
        <f>IFERROR(SUMIFS(Data!$F:$F,Data!$B:$B,"อโศก",Data!$C:$C,"ITEM0942",Data!$A:$A,DATE(2026,5,5)),"")</f>
        <v/>
      </c>
      <c r="H10" s="132">
        <f>IFERROR(SUMIFS(Data!$F:$F,Data!$B:$B,"อโศก",Data!$C:$C,"ITEM0942",Data!$A:$A,DATE(2026,5,6)),"")</f>
        <v/>
      </c>
      <c r="I10" s="132">
        <f>IFERROR(SUMIFS(Data!$F:$F,Data!$B:$B,"อโศก",Data!$C:$C,"ITEM0942",Data!$A:$A,DATE(2026,5,7)),"")</f>
        <v/>
      </c>
      <c r="J10" s="132">
        <f>IFERROR(SUMIFS(Data!$F:$F,Data!$B:$B,"อโศก",Data!$C:$C,"ITEM0942",Data!$A:$A,DATE(2026,5,8)),"")</f>
        <v/>
      </c>
      <c r="K10" s="132">
        <f>IFERROR(SUMIFS(Data!$F:$F,Data!$B:$B,"อโศก",Data!$C:$C,"ITEM0942",Data!$A:$A,DATE(2026,5,9)),"")</f>
        <v/>
      </c>
      <c r="L10" s="132">
        <f>IFERROR(SUMIFS(Data!$F:$F,Data!$B:$B,"อโศก",Data!$C:$C,"ITEM0942",Data!$A:$A,DATE(2026,5,10)),"")</f>
        <v/>
      </c>
      <c r="M10" s="132">
        <f>IFERROR(SUMIFS(Data!$F:$F,Data!$B:$B,"อโศก",Data!$C:$C,"ITEM0942",Data!$A:$A,DATE(2026,5,11)),"")</f>
        <v/>
      </c>
      <c r="N10" s="132">
        <f>IFERROR(SUMIFS(Data!$F:$F,Data!$B:$B,"อโศก",Data!$C:$C,"ITEM0942",Data!$A:$A,DATE(2026,5,12)),"")</f>
        <v/>
      </c>
      <c r="O10" s="132">
        <f>IFERROR(SUMIFS(Data!$F:$F,Data!$B:$B,"อโศก",Data!$C:$C,"ITEM0942",Data!$A:$A,DATE(2026,5,13)),"")</f>
        <v/>
      </c>
      <c r="P10" s="132">
        <f>IFERROR(SUMIFS(Data!$F:$F,Data!$B:$B,"อโศก",Data!$C:$C,"ITEM0942",Data!$A:$A,DATE(2026,5,14)),"")</f>
        <v/>
      </c>
      <c r="Q10" s="132">
        <f>IFERROR(SUMIFS(Data!$F:$F,Data!$B:$B,"อโศก",Data!$C:$C,"ITEM0942",Data!$A:$A,DATE(2026,5,15)),"")</f>
        <v/>
      </c>
      <c r="R10" s="132">
        <f>IFERROR(SUMIFS(Data!$F:$F,Data!$B:$B,"อโศก",Data!$C:$C,"ITEM0942",Data!$A:$A,DATE(2026,5,16)),"")</f>
        <v/>
      </c>
      <c r="S10" s="132">
        <f>IFERROR(SUMIFS(Data!$F:$F,Data!$B:$B,"อโศก",Data!$C:$C,"ITEM0942",Data!$A:$A,DATE(2026,5,17)),"")</f>
        <v/>
      </c>
      <c r="T10" s="132">
        <f>IFERROR(SUMIFS(Data!$F:$F,Data!$B:$B,"อโศก",Data!$C:$C,"ITEM0942",Data!$A:$A,DATE(2026,5,18)),"")</f>
        <v/>
      </c>
      <c r="U10" s="132">
        <f>IFERROR(SUMIFS(Data!$F:$F,Data!$B:$B,"อโศก",Data!$C:$C,"ITEM0942",Data!$A:$A,DATE(2026,5,19)),"")</f>
        <v/>
      </c>
      <c r="V10" s="132">
        <f>IFERROR(SUMIFS(Data!$F:$F,Data!$B:$B,"อโศก",Data!$C:$C,"ITEM0942",Data!$A:$A,DATE(2026,5,20)),"")</f>
        <v/>
      </c>
      <c r="W10" s="132">
        <f>IFERROR(SUMIFS(Data!$F:$F,Data!$B:$B,"อโศก",Data!$C:$C,"ITEM0942",Data!$A:$A,DATE(2026,5,21)),"")</f>
        <v/>
      </c>
      <c r="X10" s="132">
        <f>IFERROR(SUMIFS(Data!$F:$F,Data!$B:$B,"อโศก",Data!$C:$C,"ITEM0942",Data!$A:$A,DATE(2026,5,22)),"")</f>
        <v/>
      </c>
      <c r="Y10" s="132">
        <f>IFERROR(SUMIFS(Data!$F:$F,Data!$B:$B,"อโศก",Data!$C:$C,"ITEM0942",Data!$A:$A,DATE(2026,5,23)),"")</f>
        <v/>
      </c>
      <c r="Z10" s="132">
        <f>IFERROR(SUMIFS(Data!$F:$F,Data!$B:$B,"อโศก",Data!$C:$C,"ITEM0942",Data!$A:$A,DATE(2026,5,24)),"")</f>
        <v/>
      </c>
      <c r="AA10" s="132">
        <f>IFERROR(SUMIFS(Data!$F:$F,Data!$B:$B,"อโศก",Data!$C:$C,"ITEM0942",Data!$A:$A,DATE(2026,5,25)),"")</f>
        <v/>
      </c>
      <c r="AB10" s="132">
        <f>IFERROR(SUMIFS(Data!$F:$F,Data!$B:$B,"อโศก",Data!$C:$C,"ITEM0942",Data!$A:$A,DATE(2026,5,26)),"")</f>
        <v/>
      </c>
      <c r="AC10" s="132">
        <f>IFERROR(SUMIFS(Data!$F:$F,Data!$B:$B,"อโศก",Data!$C:$C,"ITEM0942",Data!$A:$A,DATE(2026,5,27)),"")</f>
        <v/>
      </c>
      <c r="AD10" s="132">
        <f>IFERROR(SUMIFS(Data!$F:$F,Data!$B:$B,"อโศก",Data!$C:$C,"ITEM0942",Data!$A:$A,DATE(2026,5,28)),"")</f>
        <v/>
      </c>
      <c r="AE10" s="132">
        <f>IFERROR(SUMIFS(Data!$F:$F,Data!$B:$B,"อโศก",Data!$C:$C,"ITEM0942",Data!$A:$A,DATE(2026,5,29)),"")</f>
        <v/>
      </c>
      <c r="AF10" s="132">
        <f>IFERROR(SUMIFS(Data!$F:$F,Data!$B:$B,"อโศก",Data!$C:$C,"ITEM0942",Data!$A:$A,DATE(2026,5,30)),"")</f>
        <v/>
      </c>
      <c r="AG10" s="132">
        <f>IFERROR(SUMIFS(Data!$F:$F,Data!$B:$B,"อโศก",Data!$C:$C,"ITEM0942",Data!$A:$A,DATE(2026,5,31)),"")</f>
        <v/>
      </c>
      <c r="AH10" s="72">
        <f>IFERROR(SUM(C10:AG10),0)</f>
        <v/>
      </c>
      <c r="AI10" s="72">
        <f>AH10*35</f>
        <v/>
      </c>
      <c r="AJ10" s="133">
        <f>IFERROR(AI10/AI20,0)</f>
        <v/>
      </c>
    </row>
    <row r="11" ht="19" customHeight="1" s="87">
      <c r="A11" s="74" t="inlineStr">
        <is>
          <t>ITEM0943</t>
        </is>
      </c>
      <c r="B11" s="75" t="inlineStr">
        <is>
          <t>ข้าวมันไก่ทอด</t>
        </is>
      </c>
      <c r="C11" s="134">
        <f>IFERROR(SUMIFS(Data!$F:$F,Data!$B:$B,"อโศก",Data!$C:$C,"ITEM0943",Data!$A:$A,DATE(2026,5,1)),"")</f>
        <v/>
      </c>
      <c r="D11" s="134">
        <f>IFERROR(SUMIFS(Data!$F:$F,Data!$B:$B,"อโศก",Data!$C:$C,"ITEM0943",Data!$A:$A,DATE(2026,5,2)),"")</f>
        <v/>
      </c>
      <c r="E11" s="134">
        <f>IFERROR(SUMIFS(Data!$F:$F,Data!$B:$B,"อโศก",Data!$C:$C,"ITEM0943",Data!$A:$A,DATE(2026,5,3)),"")</f>
        <v/>
      </c>
      <c r="F11" s="134">
        <f>IFERROR(SUMIFS(Data!$F:$F,Data!$B:$B,"อโศก",Data!$C:$C,"ITEM0943",Data!$A:$A,DATE(2026,5,4)),"")</f>
        <v/>
      </c>
      <c r="G11" s="134">
        <f>IFERROR(SUMIFS(Data!$F:$F,Data!$B:$B,"อโศก",Data!$C:$C,"ITEM0943",Data!$A:$A,DATE(2026,5,5)),"")</f>
        <v/>
      </c>
      <c r="H11" s="134">
        <f>IFERROR(SUMIFS(Data!$F:$F,Data!$B:$B,"อโศก",Data!$C:$C,"ITEM0943",Data!$A:$A,DATE(2026,5,6)),"")</f>
        <v/>
      </c>
      <c r="I11" s="134">
        <f>IFERROR(SUMIFS(Data!$F:$F,Data!$B:$B,"อโศก",Data!$C:$C,"ITEM0943",Data!$A:$A,DATE(2026,5,7)),"")</f>
        <v/>
      </c>
      <c r="J11" s="134">
        <f>IFERROR(SUMIFS(Data!$F:$F,Data!$B:$B,"อโศก",Data!$C:$C,"ITEM0943",Data!$A:$A,DATE(2026,5,8)),"")</f>
        <v/>
      </c>
      <c r="K11" s="134">
        <f>IFERROR(SUMIFS(Data!$F:$F,Data!$B:$B,"อโศก",Data!$C:$C,"ITEM0943",Data!$A:$A,DATE(2026,5,9)),"")</f>
        <v/>
      </c>
      <c r="L11" s="134">
        <f>IFERROR(SUMIFS(Data!$F:$F,Data!$B:$B,"อโศก",Data!$C:$C,"ITEM0943",Data!$A:$A,DATE(2026,5,10)),"")</f>
        <v/>
      </c>
      <c r="M11" s="134">
        <f>IFERROR(SUMIFS(Data!$F:$F,Data!$B:$B,"อโศก",Data!$C:$C,"ITEM0943",Data!$A:$A,DATE(2026,5,11)),"")</f>
        <v/>
      </c>
      <c r="N11" s="134">
        <f>IFERROR(SUMIFS(Data!$F:$F,Data!$B:$B,"อโศก",Data!$C:$C,"ITEM0943",Data!$A:$A,DATE(2026,5,12)),"")</f>
        <v/>
      </c>
      <c r="O11" s="134">
        <f>IFERROR(SUMIFS(Data!$F:$F,Data!$B:$B,"อโศก",Data!$C:$C,"ITEM0943",Data!$A:$A,DATE(2026,5,13)),"")</f>
        <v/>
      </c>
      <c r="P11" s="134">
        <f>IFERROR(SUMIFS(Data!$F:$F,Data!$B:$B,"อโศก",Data!$C:$C,"ITEM0943",Data!$A:$A,DATE(2026,5,14)),"")</f>
        <v/>
      </c>
      <c r="Q11" s="134">
        <f>IFERROR(SUMIFS(Data!$F:$F,Data!$B:$B,"อโศก",Data!$C:$C,"ITEM0943",Data!$A:$A,DATE(2026,5,15)),"")</f>
        <v/>
      </c>
      <c r="R11" s="134">
        <f>IFERROR(SUMIFS(Data!$F:$F,Data!$B:$B,"อโศก",Data!$C:$C,"ITEM0943",Data!$A:$A,DATE(2026,5,16)),"")</f>
        <v/>
      </c>
      <c r="S11" s="134">
        <f>IFERROR(SUMIFS(Data!$F:$F,Data!$B:$B,"อโศก",Data!$C:$C,"ITEM0943",Data!$A:$A,DATE(2026,5,17)),"")</f>
        <v/>
      </c>
      <c r="T11" s="134">
        <f>IFERROR(SUMIFS(Data!$F:$F,Data!$B:$B,"อโศก",Data!$C:$C,"ITEM0943",Data!$A:$A,DATE(2026,5,18)),"")</f>
        <v/>
      </c>
      <c r="U11" s="134">
        <f>IFERROR(SUMIFS(Data!$F:$F,Data!$B:$B,"อโศก",Data!$C:$C,"ITEM0943",Data!$A:$A,DATE(2026,5,19)),"")</f>
        <v/>
      </c>
      <c r="V11" s="134">
        <f>IFERROR(SUMIFS(Data!$F:$F,Data!$B:$B,"อโศก",Data!$C:$C,"ITEM0943",Data!$A:$A,DATE(2026,5,20)),"")</f>
        <v/>
      </c>
      <c r="W11" s="134">
        <f>IFERROR(SUMIFS(Data!$F:$F,Data!$B:$B,"อโศก",Data!$C:$C,"ITEM0943",Data!$A:$A,DATE(2026,5,21)),"")</f>
        <v/>
      </c>
      <c r="X11" s="134">
        <f>IFERROR(SUMIFS(Data!$F:$F,Data!$B:$B,"อโศก",Data!$C:$C,"ITEM0943",Data!$A:$A,DATE(2026,5,22)),"")</f>
        <v/>
      </c>
      <c r="Y11" s="134">
        <f>IFERROR(SUMIFS(Data!$F:$F,Data!$B:$B,"อโศก",Data!$C:$C,"ITEM0943",Data!$A:$A,DATE(2026,5,23)),"")</f>
        <v/>
      </c>
      <c r="Z11" s="134">
        <f>IFERROR(SUMIFS(Data!$F:$F,Data!$B:$B,"อโศก",Data!$C:$C,"ITEM0943",Data!$A:$A,DATE(2026,5,24)),"")</f>
        <v/>
      </c>
      <c r="AA11" s="134">
        <f>IFERROR(SUMIFS(Data!$F:$F,Data!$B:$B,"อโศก",Data!$C:$C,"ITEM0943",Data!$A:$A,DATE(2026,5,25)),"")</f>
        <v/>
      </c>
      <c r="AB11" s="134">
        <f>IFERROR(SUMIFS(Data!$F:$F,Data!$B:$B,"อโศก",Data!$C:$C,"ITEM0943",Data!$A:$A,DATE(2026,5,26)),"")</f>
        <v/>
      </c>
      <c r="AC11" s="134">
        <f>IFERROR(SUMIFS(Data!$F:$F,Data!$B:$B,"อโศก",Data!$C:$C,"ITEM0943",Data!$A:$A,DATE(2026,5,27)),"")</f>
        <v/>
      </c>
      <c r="AD11" s="134">
        <f>IFERROR(SUMIFS(Data!$F:$F,Data!$B:$B,"อโศก",Data!$C:$C,"ITEM0943",Data!$A:$A,DATE(2026,5,28)),"")</f>
        <v/>
      </c>
      <c r="AE11" s="134">
        <f>IFERROR(SUMIFS(Data!$F:$F,Data!$B:$B,"อโศก",Data!$C:$C,"ITEM0943",Data!$A:$A,DATE(2026,5,29)),"")</f>
        <v/>
      </c>
      <c r="AF11" s="134">
        <f>IFERROR(SUMIFS(Data!$F:$F,Data!$B:$B,"อโศก",Data!$C:$C,"ITEM0943",Data!$A:$A,DATE(2026,5,30)),"")</f>
        <v/>
      </c>
      <c r="AG11" s="134">
        <f>IFERROR(SUMIFS(Data!$F:$F,Data!$B:$B,"อโศก",Data!$C:$C,"ITEM0943",Data!$A:$A,DATE(2026,5,31)),"")</f>
        <v/>
      </c>
      <c r="AH11" s="77">
        <f>IFERROR(SUM(C11:AG11),0)</f>
        <v/>
      </c>
      <c r="AI11" s="77">
        <f>AH11*35</f>
        <v/>
      </c>
      <c r="AJ11" s="135">
        <f>IFERROR(AI11/AI20,0)</f>
        <v/>
      </c>
    </row>
    <row r="12" ht="19" customHeight="1" s="87">
      <c r="A12" s="69" t="inlineStr">
        <is>
          <t>ITEM0944</t>
        </is>
      </c>
      <c r="B12" s="70" t="inlineStr">
        <is>
          <t>ข้าวมันไก่ผสม</t>
        </is>
      </c>
      <c r="C12" s="132">
        <f>IFERROR(SUMIFS(Data!$F:$F,Data!$B:$B,"อโศก",Data!$C:$C,"ITEM0944",Data!$A:$A,DATE(2026,5,1)),"")</f>
        <v/>
      </c>
      <c r="D12" s="132">
        <f>IFERROR(SUMIFS(Data!$F:$F,Data!$B:$B,"อโศก",Data!$C:$C,"ITEM0944",Data!$A:$A,DATE(2026,5,2)),"")</f>
        <v/>
      </c>
      <c r="E12" s="132">
        <f>IFERROR(SUMIFS(Data!$F:$F,Data!$B:$B,"อโศก",Data!$C:$C,"ITEM0944",Data!$A:$A,DATE(2026,5,3)),"")</f>
        <v/>
      </c>
      <c r="F12" s="132">
        <f>IFERROR(SUMIFS(Data!$F:$F,Data!$B:$B,"อโศก",Data!$C:$C,"ITEM0944",Data!$A:$A,DATE(2026,5,4)),"")</f>
        <v/>
      </c>
      <c r="G12" s="132">
        <f>IFERROR(SUMIFS(Data!$F:$F,Data!$B:$B,"อโศก",Data!$C:$C,"ITEM0944",Data!$A:$A,DATE(2026,5,5)),"")</f>
        <v/>
      </c>
      <c r="H12" s="132">
        <f>IFERROR(SUMIFS(Data!$F:$F,Data!$B:$B,"อโศก",Data!$C:$C,"ITEM0944",Data!$A:$A,DATE(2026,5,6)),"")</f>
        <v/>
      </c>
      <c r="I12" s="132">
        <f>IFERROR(SUMIFS(Data!$F:$F,Data!$B:$B,"อโศก",Data!$C:$C,"ITEM0944",Data!$A:$A,DATE(2026,5,7)),"")</f>
        <v/>
      </c>
      <c r="J12" s="132">
        <f>IFERROR(SUMIFS(Data!$F:$F,Data!$B:$B,"อโศก",Data!$C:$C,"ITEM0944",Data!$A:$A,DATE(2026,5,8)),"")</f>
        <v/>
      </c>
      <c r="K12" s="132">
        <f>IFERROR(SUMIFS(Data!$F:$F,Data!$B:$B,"อโศก",Data!$C:$C,"ITEM0944",Data!$A:$A,DATE(2026,5,9)),"")</f>
        <v/>
      </c>
      <c r="L12" s="132">
        <f>IFERROR(SUMIFS(Data!$F:$F,Data!$B:$B,"อโศก",Data!$C:$C,"ITEM0944",Data!$A:$A,DATE(2026,5,10)),"")</f>
        <v/>
      </c>
      <c r="M12" s="132">
        <f>IFERROR(SUMIFS(Data!$F:$F,Data!$B:$B,"อโศก",Data!$C:$C,"ITEM0944",Data!$A:$A,DATE(2026,5,11)),"")</f>
        <v/>
      </c>
      <c r="N12" s="132">
        <f>IFERROR(SUMIFS(Data!$F:$F,Data!$B:$B,"อโศก",Data!$C:$C,"ITEM0944",Data!$A:$A,DATE(2026,5,12)),"")</f>
        <v/>
      </c>
      <c r="O12" s="132">
        <f>IFERROR(SUMIFS(Data!$F:$F,Data!$B:$B,"อโศก",Data!$C:$C,"ITEM0944",Data!$A:$A,DATE(2026,5,13)),"")</f>
        <v/>
      </c>
      <c r="P12" s="132">
        <f>IFERROR(SUMIFS(Data!$F:$F,Data!$B:$B,"อโศก",Data!$C:$C,"ITEM0944",Data!$A:$A,DATE(2026,5,14)),"")</f>
        <v/>
      </c>
      <c r="Q12" s="132">
        <f>IFERROR(SUMIFS(Data!$F:$F,Data!$B:$B,"อโศก",Data!$C:$C,"ITEM0944",Data!$A:$A,DATE(2026,5,15)),"")</f>
        <v/>
      </c>
      <c r="R12" s="132">
        <f>IFERROR(SUMIFS(Data!$F:$F,Data!$B:$B,"อโศก",Data!$C:$C,"ITEM0944",Data!$A:$A,DATE(2026,5,16)),"")</f>
        <v/>
      </c>
      <c r="S12" s="132">
        <f>IFERROR(SUMIFS(Data!$F:$F,Data!$B:$B,"อโศก",Data!$C:$C,"ITEM0944",Data!$A:$A,DATE(2026,5,17)),"")</f>
        <v/>
      </c>
      <c r="T12" s="132">
        <f>IFERROR(SUMIFS(Data!$F:$F,Data!$B:$B,"อโศก",Data!$C:$C,"ITEM0944",Data!$A:$A,DATE(2026,5,18)),"")</f>
        <v/>
      </c>
      <c r="U12" s="132">
        <f>IFERROR(SUMIFS(Data!$F:$F,Data!$B:$B,"อโศก",Data!$C:$C,"ITEM0944",Data!$A:$A,DATE(2026,5,19)),"")</f>
        <v/>
      </c>
      <c r="V12" s="132">
        <f>IFERROR(SUMIFS(Data!$F:$F,Data!$B:$B,"อโศก",Data!$C:$C,"ITEM0944",Data!$A:$A,DATE(2026,5,20)),"")</f>
        <v/>
      </c>
      <c r="W12" s="132">
        <f>IFERROR(SUMIFS(Data!$F:$F,Data!$B:$B,"อโศก",Data!$C:$C,"ITEM0944",Data!$A:$A,DATE(2026,5,21)),"")</f>
        <v/>
      </c>
      <c r="X12" s="132">
        <f>IFERROR(SUMIFS(Data!$F:$F,Data!$B:$B,"อโศก",Data!$C:$C,"ITEM0944",Data!$A:$A,DATE(2026,5,22)),"")</f>
        <v/>
      </c>
      <c r="Y12" s="132">
        <f>IFERROR(SUMIFS(Data!$F:$F,Data!$B:$B,"อโศก",Data!$C:$C,"ITEM0944",Data!$A:$A,DATE(2026,5,23)),"")</f>
        <v/>
      </c>
      <c r="Z12" s="132">
        <f>IFERROR(SUMIFS(Data!$F:$F,Data!$B:$B,"อโศก",Data!$C:$C,"ITEM0944",Data!$A:$A,DATE(2026,5,24)),"")</f>
        <v/>
      </c>
      <c r="AA12" s="132">
        <f>IFERROR(SUMIFS(Data!$F:$F,Data!$B:$B,"อโศก",Data!$C:$C,"ITEM0944",Data!$A:$A,DATE(2026,5,25)),"")</f>
        <v/>
      </c>
      <c r="AB12" s="132">
        <f>IFERROR(SUMIFS(Data!$F:$F,Data!$B:$B,"อโศก",Data!$C:$C,"ITEM0944",Data!$A:$A,DATE(2026,5,26)),"")</f>
        <v/>
      </c>
      <c r="AC12" s="132">
        <f>IFERROR(SUMIFS(Data!$F:$F,Data!$B:$B,"อโศก",Data!$C:$C,"ITEM0944",Data!$A:$A,DATE(2026,5,27)),"")</f>
        <v/>
      </c>
      <c r="AD12" s="132">
        <f>IFERROR(SUMIFS(Data!$F:$F,Data!$B:$B,"อโศก",Data!$C:$C,"ITEM0944",Data!$A:$A,DATE(2026,5,28)),"")</f>
        <v/>
      </c>
      <c r="AE12" s="132">
        <f>IFERROR(SUMIFS(Data!$F:$F,Data!$B:$B,"อโศก",Data!$C:$C,"ITEM0944",Data!$A:$A,DATE(2026,5,29)),"")</f>
        <v/>
      </c>
      <c r="AF12" s="132">
        <f>IFERROR(SUMIFS(Data!$F:$F,Data!$B:$B,"อโศก",Data!$C:$C,"ITEM0944",Data!$A:$A,DATE(2026,5,30)),"")</f>
        <v/>
      </c>
      <c r="AG12" s="132">
        <f>IFERROR(SUMIFS(Data!$F:$F,Data!$B:$B,"อโศก",Data!$C:$C,"ITEM0944",Data!$A:$A,DATE(2026,5,31)),"")</f>
        <v/>
      </c>
      <c r="AH12" s="72">
        <f>IFERROR(SUM(C12:AG12),0)</f>
        <v/>
      </c>
      <c r="AI12" s="72">
        <f>AH12*40</f>
        <v/>
      </c>
      <c r="AJ12" s="133">
        <f>IFERROR(AI12/AI20,0)</f>
        <v/>
      </c>
    </row>
    <row r="13" ht="19" customHeight="1" s="87">
      <c r="A13" s="74" t="inlineStr">
        <is>
          <t>ITEM0945</t>
        </is>
      </c>
      <c r="B13" s="75" t="inlineStr">
        <is>
          <t>ข้าวยำไก่แซ่บ</t>
        </is>
      </c>
      <c r="C13" s="134">
        <f>IFERROR(SUMIFS(Data!$F:$F,Data!$B:$B,"อโศก",Data!$C:$C,"ITEM0945",Data!$A:$A,DATE(2026,5,1)),"")</f>
        <v/>
      </c>
      <c r="D13" s="134">
        <f>IFERROR(SUMIFS(Data!$F:$F,Data!$B:$B,"อโศก",Data!$C:$C,"ITEM0945",Data!$A:$A,DATE(2026,5,2)),"")</f>
        <v/>
      </c>
      <c r="E13" s="134">
        <f>IFERROR(SUMIFS(Data!$F:$F,Data!$B:$B,"อโศก",Data!$C:$C,"ITEM0945",Data!$A:$A,DATE(2026,5,3)),"")</f>
        <v/>
      </c>
      <c r="F13" s="134">
        <f>IFERROR(SUMIFS(Data!$F:$F,Data!$B:$B,"อโศก",Data!$C:$C,"ITEM0945",Data!$A:$A,DATE(2026,5,4)),"")</f>
        <v/>
      </c>
      <c r="G13" s="134">
        <f>IFERROR(SUMIFS(Data!$F:$F,Data!$B:$B,"อโศก",Data!$C:$C,"ITEM0945",Data!$A:$A,DATE(2026,5,5)),"")</f>
        <v/>
      </c>
      <c r="H13" s="134">
        <f>IFERROR(SUMIFS(Data!$F:$F,Data!$B:$B,"อโศก",Data!$C:$C,"ITEM0945",Data!$A:$A,DATE(2026,5,6)),"")</f>
        <v/>
      </c>
      <c r="I13" s="134">
        <f>IFERROR(SUMIFS(Data!$F:$F,Data!$B:$B,"อโศก",Data!$C:$C,"ITEM0945",Data!$A:$A,DATE(2026,5,7)),"")</f>
        <v/>
      </c>
      <c r="J13" s="134">
        <f>IFERROR(SUMIFS(Data!$F:$F,Data!$B:$B,"อโศก",Data!$C:$C,"ITEM0945",Data!$A:$A,DATE(2026,5,8)),"")</f>
        <v/>
      </c>
      <c r="K13" s="134">
        <f>IFERROR(SUMIFS(Data!$F:$F,Data!$B:$B,"อโศก",Data!$C:$C,"ITEM0945",Data!$A:$A,DATE(2026,5,9)),"")</f>
        <v/>
      </c>
      <c r="L13" s="134">
        <f>IFERROR(SUMIFS(Data!$F:$F,Data!$B:$B,"อโศก",Data!$C:$C,"ITEM0945",Data!$A:$A,DATE(2026,5,10)),"")</f>
        <v/>
      </c>
      <c r="M13" s="134">
        <f>IFERROR(SUMIFS(Data!$F:$F,Data!$B:$B,"อโศก",Data!$C:$C,"ITEM0945",Data!$A:$A,DATE(2026,5,11)),"")</f>
        <v/>
      </c>
      <c r="N13" s="134">
        <f>IFERROR(SUMIFS(Data!$F:$F,Data!$B:$B,"อโศก",Data!$C:$C,"ITEM0945",Data!$A:$A,DATE(2026,5,12)),"")</f>
        <v/>
      </c>
      <c r="O13" s="134">
        <f>IFERROR(SUMIFS(Data!$F:$F,Data!$B:$B,"อโศก",Data!$C:$C,"ITEM0945",Data!$A:$A,DATE(2026,5,13)),"")</f>
        <v/>
      </c>
      <c r="P13" s="134">
        <f>IFERROR(SUMIFS(Data!$F:$F,Data!$B:$B,"อโศก",Data!$C:$C,"ITEM0945",Data!$A:$A,DATE(2026,5,14)),"")</f>
        <v/>
      </c>
      <c r="Q13" s="134">
        <f>IFERROR(SUMIFS(Data!$F:$F,Data!$B:$B,"อโศก",Data!$C:$C,"ITEM0945",Data!$A:$A,DATE(2026,5,15)),"")</f>
        <v/>
      </c>
      <c r="R13" s="134">
        <f>IFERROR(SUMIFS(Data!$F:$F,Data!$B:$B,"อโศก",Data!$C:$C,"ITEM0945",Data!$A:$A,DATE(2026,5,16)),"")</f>
        <v/>
      </c>
      <c r="S13" s="134">
        <f>IFERROR(SUMIFS(Data!$F:$F,Data!$B:$B,"อโศก",Data!$C:$C,"ITEM0945",Data!$A:$A,DATE(2026,5,17)),"")</f>
        <v/>
      </c>
      <c r="T13" s="134">
        <f>IFERROR(SUMIFS(Data!$F:$F,Data!$B:$B,"อโศก",Data!$C:$C,"ITEM0945",Data!$A:$A,DATE(2026,5,18)),"")</f>
        <v/>
      </c>
      <c r="U13" s="134">
        <f>IFERROR(SUMIFS(Data!$F:$F,Data!$B:$B,"อโศก",Data!$C:$C,"ITEM0945",Data!$A:$A,DATE(2026,5,19)),"")</f>
        <v/>
      </c>
      <c r="V13" s="134">
        <f>IFERROR(SUMIFS(Data!$F:$F,Data!$B:$B,"อโศก",Data!$C:$C,"ITEM0945",Data!$A:$A,DATE(2026,5,20)),"")</f>
        <v/>
      </c>
      <c r="W13" s="134">
        <f>IFERROR(SUMIFS(Data!$F:$F,Data!$B:$B,"อโศก",Data!$C:$C,"ITEM0945",Data!$A:$A,DATE(2026,5,21)),"")</f>
        <v/>
      </c>
      <c r="X13" s="134">
        <f>IFERROR(SUMIFS(Data!$F:$F,Data!$B:$B,"อโศก",Data!$C:$C,"ITEM0945",Data!$A:$A,DATE(2026,5,22)),"")</f>
        <v/>
      </c>
      <c r="Y13" s="134">
        <f>IFERROR(SUMIFS(Data!$F:$F,Data!$B:$B,"อโศก",Data!$C:$C,"ITEM0945",Data!$A:$A,DATE(2026,5,23)),"")</f>
        <v/>
      </c>
      <c r="Z13" s="134">
        <f>IFERROR(SUMIFS(Data!$F:$F,Data!$B:$B,"อโศก",Data!$C:$C,"ITEM0945",Data!$A:$A,DATE(2026,5,24)),"")</f>
        <v/>
      </c>
      <c r="AA13" s="134">
        <f>IFERROR(SUMIFS(Data!$F:$F,Data!$B:$B,"อโศก",Data!$C:$C,"ITEM0945",Data!$A:$A,DATE(2026,5,25)),"")</f>
        <v/>
      </c>
      <c r="AB13" s="134">
        <f>IFERROR(SUMIFS(Data!$F:$F,Data!$B:$B,"อโศก",Data!$C:$C,"ITEM0945",Data!$A:$A,DATE(2026,5,26)),"")</f>
        <v/>
      </c>
      <c r="AC13" s="134">
        <f>IFERROR(SUMIFS(Data!$F:$F,Data!$B:$B,"อโศก",Data!$C:$C,"ITEM0945",Data!$A:$A,DATE(2026,5,27)),"")</f>
        <v/>
      </c>
      <c r="AD13" s="134">
        <f>IFERROR(SUMIFS(Data!$F:$F,Data!$B:$B,"อโศก",Data!$C:$C,"ITEM0945",Data!$A:$A,DATE(2026,5,28)),"")</f>
        <v/>
      </c>
      <c r="AE13" s="134">
        <f>IFERROR(SUMIFS(Data!$F:$F,Data!$B:$B,"อโศก",Data!$C:$C,"ITEM0945",Data!$A:$A,DATE(2026,5,29)),"")</f>
        <v/>
      </c>
      <c r="AF13" s="134">
        <f>IFERROR(SUMIFS(Data!$F:$F,Data!$B:$B,"อโศก",Data!$C:$C,"ITEM0945",Data!$A:$A,DATE(2026,5,30)),"")</f>
        <v/>
      </c>
      <c r="AG13" s="134">
        <f>IFERROR(SUMIFS(Data!$F:$F,Data!$B:$B,"อโศก",Data!$C:$C,"ITEM0945",Data!$A:$A,DATE(2026,5,31)),"")</f>
        <v/>
      </c>
      <c r="AH13" s="77">
        <f>IFERROR(SUM(C13:AG13),0)</f>
        <v/>
      </c>
      <c r="AI13" s="77">
        <f>AH13*38</f>
        <v/>
      </c>
      <c r="AJ13" s="135">
        <f>IFERROR(AI13/AI20,0)</f>
        <v/>
      </c>
    </row>
    <row r="14" ht="19" customHeight="1" s="87">
      <c r="A14" s="69" t="inlineStr">
        <is>
          <t>ITEM0946</t>
        </is>
      </c>
      <c r="B14" s="70" t="inlineStr">
        <is>
          <t>ยำแซ่บไก่ฉีก</t>
        </is>
      </c>
      <c r="C14" s="132">
        <f>IFERROR(SUMIFS(Data!$F:$F,Data!$B:$B,"อโศก",Data!$C:$C,"ITEM0946",Data!$A:$A,DATE(2026,5,1)),"")</f>
        <v/>
      </c>
      <c r="D14" s="132">
        <f>IFERROR(SUMIFS(Data!$F:$F,Data!$B:$B,"อโศก",Data!$C:$C,"ITEM0946",Data!$A:$A,DATE(2026,5,2)),"")</f>
        <v/>
      </c>
      <c r="E14" s="132">
        <f>IFERROR(SUMIFS(Data!$F:$F,Data!$B:$B,"อโศก",Data!$C:$C,"ITEM0946",Data!$A:$A,DATE(2026,5,3)),"")</f>
        <v/>
      </c>
      <c r="F14" s="132">
        <f>IFERROR(SUMIFS(Data!$F:$F,Data!$B:$B,"อโศก",Data!$C:$C,"ITEM0946",Data!$A:$A,DATE(2026,5,4)),"")</f>
        <v/>
      </c>
      <c r="G14" s="132">
        <f>IFERROR(SUMIFS(Data!$F:$F,Data!$B:$B,"อโศก",Data!$C:$C,"ITEM0946",Data!$A:$A,DATE(2026,5,5)),"")</f>
        <v/>
      </c>
      <c r="H14" s="132">
        <f>IFERROR(SUMIFS(Data!$F:$F,Data!$B:$B,"อโศก",Data!$C:$C,"ITEM0946",Data!$A:$A,DATE(2026,5,6)),"")</f>
        <v/>
      </c>
      <c r="I14" s="132">
        <f>IFERROR(SUMIFS(Data!$F:$F,Data!$B:$B,"อโศก",Data!$C:$C,"ITEM0946",Data!$A:$A,DATE(2026,5,7)),"")</f>
        <v/>
      </c>
      <c r="J14" s="132">
        <f>IFERROR(SUMIFS(Data!$F:$F,Data!$B:$B,"อโศก",Data!$C:$C,"ITEM0946",Data!$A:$A,DATE(2026,5,8)),"")</f>
        <v/>
      </c>
      <c r="K14" s="132">
        <f>IFERROR(SUMIFS(Data!$F:$F,Data!$B:$B,"อโศก",Data!$C:$C,"ITEM0946",Data!$A:$A,DATE(2026,5,9)),"")</f>
        <v/>
      </c>
      <c r="L14" s="132">
        <f>IFERROR(SUMIFS(Data!$F:$F,Data!$B:$B,"อโศก",Data!$C:$C,"ITEM0946",Data!$A:$A,DATE(2026,5,10)),"")</f>
        <v/>
      </c>
      <c r="M14" s="132">
        <f>IFERROR(SUMIFS(Data!$F:$F,Data!$B:$B,"อโศก",Data!$C:$C,"ITEM0946",Data!$A:$A,DATE(2026,5,11)),"")</f>
        <v/>
      </c>
      <c r="N14" s="132">
        <f>IFERROR(SUMIFS(Data!$F:$F,Data!$B:$B,"อโศก",Data!$C:$C,"ITEM0946",Data!$A:$A,DATE(2026,5,12)),"")</f>
        <v/>
      </c>
      <c r="O14" s="132">
        <f>IFERROR(SUMIFS(Data!$F:$F,Data!$B:$B,"อโศก",Data!$C:$C,"ITEM0946",Data!$A:$A,DATE(2026,5,13)),"")</f>
        <v/>
      </c>
      <c r="P14" s="132">
        <f>IFERROR(SUMIFS(Data!$F:$F,Data!$B:$B,"อโศก",Data!$C:$C,"ITEM0946",Data!$A:$A,DATE(2026,5,14)),"")</f>
        <v/>
      </c>
      <c r="Q14" s="132">
        <f>IFERROR(SUMIFS(Data!$F:$F,Data!$B:$B,"อโศก",Data!$C:$C,"ITEM0946",Data!$A:$A,DATE(2026,5,15)),"")</f>
        <v/>
      </c>
      <c r="R14" s="132">
        <f>IFERROR(SUMIFS(Data!$F:$F,Data!$B:$B,"อโศก",Data!$C:$C,"ITEM0946",Data!$A:$A,DATE(2026,5,16)),"")</f>
        <v/>
      </c>
      <c r="S14" s="132">
        <f>IFERROR(SUMIFS(Data!$F:$F,Data!$B:$B,"อโศก",Data!$C:$C,"ITEM0946",Data!$A:$A,DATE(2026,5,17)),"")</f>
        <v/>
      </c>
      <c r="T14" s="132">
        <f>IFERROR(SUMIFS(Data!$F:$F,Data!$B:$B,"อโศก",Data!$C:$C,"ITEM0946",Data!$A:$A,DATE(2026,5,18)),"")</f>
        <v/>
      </c>
      <c r="U14" s="132">
        <f>IFERROR(SUMIFS(Data!$F:$F,Data!$B:$B,"อโศก",Data!$C:$C,"ITEM0946",Data!$A:$A,DATE(2026,5,19)),"")</f>
        <v/>
      </c>
      <c r="V14" s="132">
        <f>IFERROR(SUMIFS(Data!$F:$F,Data!$B:$B,"อโศก",Data!$C:$C,"ITEM0946",Data!$A:$A,DATE(2026,5,20)),"")</f>
        <v/>
      </c>
      <c r="W14" s="132">
        <f>IFERROR(SUMIFS(Data!$F:$F,Data!$B:$B,"อโศก",Data!$C:$C,"ITEM0946",Data!$A:$A,DATE(2026,5,21)),"")</f>
        <v/>
      </c>
      <c r="X14" s="132">
        <f>IFERROR(SUMIFS(Data!$F:$F,Data!$B:$B,"อโศก",Data!$C:$C,"ITEM0946",Data!$A:$A,DATE(2026,5,22)),"")</f>
        <v/>
      </c>
      <c r="Y14" s="132">
        <f>IFERROR(SUMIFS(Data!$F:$F,Data!$B:$B,"อโศก",Data!$C:$C,"ITEM0946",Data!$A:$A,DATE(2026,5,23)),"")</f>
        <v/>
      </c>
      <c r="Z14" s="132">
        <f>IFERROR(SUMIFS(Data!$F:$F,Data!$B:$B,"อโศก",Data!$C:$C,"ITEM0946",Data!$A:$A,DATE(2026,5,24)),"")</f>
        <v/>
      </c>
      <c r="AA14" s="132">
        <f>IFERROR(SUMIFS(Data!$F:$F,Data!$B:$B,"อโศก",Data!$C:$C,"ITEM0946",Data!$A:$A,DATE(2026,5,25)),"")</f>
        <v/>
      </c>
      <c r="AB14" s="132">
        <f>IFERROR(SUMIFS(Data!$F:$F,Data!$B:$B,"อโศก",Data!$C:$C,"ITEM0946",Data!$A:$A,DATE(2026,5,26)),"")</f>
        <v/>
      </c>
      <c r="AC14" s="132">
        <f>IFERROR(SUMIFS(Data!$F:$F,Data!$B:$B,"อโศก",Data!$C:$C,"ITEM0946",Data!$A:$A,DATE(2026,5,27)),"")</f>
        <v/>
      </c>
      <c r="AD14" s="132">
        <f>IFERROR(SUMIFS(Data!$F:$F,Data!$B:$B,"อโศก",Data!$C:$C,"ITEM0946",Data!$A:$A,DATE(2026,5,28)),"")</f>
        <v/>
      </c>
      <c r="AE14" s="132">
        <f>IFERROR(SUMIFS(Data!$F:$F,Data!$B:$B,"อโศก",Data!$C:$C,"ITEM0946",Data!$A:$A,DATE(2026,5,29)),"")</f>
        <v/>
      </c>
      <c r="AF14" s="132">
        <f>IFERROR(SUMIFS(Data!$F:$F,Data!$B:$B,"อโศก",Data!$C:$C,"ITEM0946",Data!$A:$A,DATE(2026,5,30)),"")</f>
        <v/>
      </c>
      <c r="AG14" s="132">
        <f>IFERROR(SUMIFS(Data!$F:$F,Data!$B:$B,"อโศก",Data!$C:$C,"ITEM0946",Data!$A:$A,DATE(2026,5,31)),"")</f>
        <v/>
      </c>
      <c r="AH14" s="72">
        <f>IFERROR(SUM(C14:AG14),0)</f>
        <v/>
      </c>
      <c r="AI14" s="72">
        <f>AH14*32</f>
        <v/>
      </c>
      <c r="AJ14" s="133">
        <f>IFERROR(AI14/AI20,0)</f>
        <v/>
      </c>
    </row>
    <row r="15" ht="19" customHeight="1" s="87">
      <c r="A15" s="74" t="inlineStr">
        <is>
          <t>ITEM0947</t>
        </is>
      </c>
      <c r="B15" s="75" t="inlineStr">
        <is>
          <t>ชุดเซต ข้าวมันไก่ต้ม</t>
        </is>
      </c>
      <c r="C15" s="134">
        <f>IFERROR(SUMIFS(Data!$F:$F,Data!$B:$B,"อโศก",Data!$C:$C,"ITEM0947",Data!$A:$A,DATE(2026,5,1)),"")</f>
        <v/>
      </c>
      <c r="D15" s="134">
        <f>IFERROR(SUMIFS(Data!$F:$F,Data!$B:$B,"อโศก",Data!$C:$C,"ITEM0947",Data!$A:$A,DATE(2026,5,2)),"")</f>
        <v/>
      </c>
      <c r="E15" s="134">
        <f>IFERROR(SUMIFS(Data!$F:$F,Data!$B:$B,"อโศก",Data!$C:$C,"ITEM0947",Data!$A:$A,DATE(2026,5,3)),"")</f>
        <v/>
      </c>
      <c r="F15" s="134">
        <f>IFERROR(SUMIFS(Data!$F:$F,Data!$B:$B,"อโศก",Data!$C:$C,"ITEM0947",Data!$A:$A,DATE(2026,5,4)),"")</f>
        <v/>
      </c>
      <c r="G15" s="134">
        <f>IFERROR(SUMIFS(Data!$F:$F,Data!$B:$B,"อโศก",Data!$C:$C,"ITEM0947",Data!$A:$A,DATE(2026,5,5)),"")</f>
        <v/>
      </c>
      <c r="H15" s="134">
        <f>IFERROR(SUMIFS(Data!$F:$F,Data!$B:$B,"อโศก",Data!$C:$C,"ITEM0947",Data!$A:$A,DATE(2026,5,6)),"")</f>
        <v/>
      </c>
      <c r="I15" s="134">
        <f>IFERROR(SUMIFS(Data!$F:$F,Data!$B:$B,"อโศก",Data!$C:$C,"ITEM0947",Data!$A:$A,DATE(2026,5,7)),"")</f>
        <v/>
      </c>
      <c r="J15" s="134">
        <f>IFERROR(SUMIFS(Data!$F:$F,Data!$B:$B,"อโศก",Data!$C:$C,"ITEM0947",Data!$A:$A,DATE(2026,5,8)),"")</f>
        <v/>
      </c>
      <c r="K15" s="134">
        <f>IFERROR(SUMIFS(Data!$F:$F,Data!$B:$B,"อโศก",Data!$C:$C,"ITEM0947",Data!$A:$A,DATE(2026,5,9)),"")</f>
        <v/>
      </c>
      <c r="L15" s="134">
        <f>IFERROR(SUMIFS(Data!$F:$F,Data!$B:$B,"อโศก",Data!$C:$C,"ITEM0947",Data!$A:$A,DATE(2026,5,10)),"")</f>
        <v/>
      </c>
      <c r="M15" s="134">
        <f>IFERROR(SUMIFS(Data!$F:$F,Data!$B:$B,"อโศก",Data!$C:$C,"ITEM0947",Data!$A:$A,DATE(2026,5,11)),"")</f>
        <v/>
      </c>
      <c r="N15" s="134">
        <f>IFERROR(SUMIFS(Data!$F:$F,Data!$B:$B,"อโศก",Data!$C:$C,"ITEM0947",Data!$A:$A,DATE(2026,5,12)),"")</f>
        <v/>
      </c>
      <c r="O15" s="134">
        <f>IFERROR(SUMIFS(Data!$F:$F,Data!$B:$B,"อโศก",Data!$C:$C,"ITEM0947",Data!$A:$A,DATE(2026,5,13)),"")</f>
        <v/>
      </c>
      <c r="P15" s="134">
        <f>IFERROR(SUMIFS(Data!$F:$F,Data!$B:$B,"อโศก",Data!$C:$C,"ITEM0947",Data!$A:$A,DATE(2026,5,14)),"")</f>
        <v/>
      </c>
      <c r="Q15" s="134">
        <f>IFERROR(SUMIFS(Data!$F:$F,Data!$B:$B,"อโศก",Data!$C:$C,"ITEM0947",Data!$A:$A,DATE(2026,5,15)),"")</f>
        <v/>
      </c>
      <c r="R15" s="134">
        <f>IFERROR(SUMIFS(Data!$F:$F,Data!$B:$B,"อโศก",Data!$C:$C,"ITEM0947",Data!$A:$A,DATE(2026,5,16)),"")</f>
        <v/>
      </c>
      <c r="S15" s="134">
        <f>IFERROR(SUMIFS(Data!$F:$F,Data!$B:$B,"อโศก",Data!$C:$C,"ITEM0947",Data!$A:$A,DATE(2026,5,17)),"")</f>
        <v/>
      </c>
      <c r="T15" s="134">
        <f>IFERROR(SUMIFS(Data!$F:$F,Data!$B:$B,"อโศก",Data!$C:$C,"ITEM0947",Data!$A:$A,DATE(2026,5,18)),"")</f>
        <v/>
      </c>
      <c r="U15" s="134">
        <f>IFERROR(SUMIFS(Data!$F:$F,Data!$B:$B,"อโศก",Data!$C:$C,"ITEM0947",Data!$A:$A,DATE(2026,5,19)),"")</f>
        <v/>
      </c>
      <c r="V15" s="134">
        <f>IFERROR(SUMIFS(Data!$F:$F,Data!$B:$B,"อโศก",Data!$C:$C,"ITEM0947",Data!$A:$A,DATE(2026,5,20)),"")</f>
        <v/>
      </c>
      <c r="W15" s="134">
        <f>IFERROR(SUMIFS(Data!$F:$F,Data!$B:$B,"อโศก",Data!$C:$C,"ITEM0947",Data!$A:$A,DATE(2026,5,21)),"")</f>
        <v/>
      </c>
      <c r="X15" s="134">
        <f>IFERROR(SUMIFS(Data!$F:$F,Data!$B:$B,"อโศก",Data!$C:$C,"ITEM0947",Data!$A:$A,DATE(2026,5,22)),"")</f>
        <v/>
      </c>
      <c r="Y15" s="134">
        <f>IFERROR(SUMIFS(Data!$F:$F,Data!$B:$B,"อโศก",Data!$C:$C,"ITEM0947",Data!$A:$A,DATE(2026,5,23)),"")</f>
        <v/>
      </c>
      <c r="Z15" s="134">
        <f>IFERROR(SUMIFS(Data!$F:$F,Data!$B:$B,"อโศก",Data!$C:$C,"ITEM0947",Data!$A:$A,DATE(2026,5,24)),"")</f>
        <v/>
      </c>
      <c r="AA15" s="134">
        <f>IFERROR(SUMIFS(Data!$F:$F,Data!$B:$B,"อโศก",Data!$C:$C,"ITEM0947",Data!$A:$A,DATE(2026,5,25)),"")</f>
        <v/>
      </c>
      <c r="AB15" s="134">
        <f>IFERROR(SUMIFS(Data!$F:$F,Data!$B:$B,"อโศก",Data!$C:$C,"ITEM0947",Data!$A:$A,DATE(2026,5,26)),"")</f>
        <v/>
      </c>
      <c r="AC15" s="134">
        <f>IFERROR(SUMIFS(Data!$F:$F,Data!$B:$B,"อโศก",Data!$C:$C,"ITEM0947",Data!$A:$A,DATE(2026,5,27)),"")</f>
        <v/>
      </c>
      <c r="AD15" s="134">
        <f>IFERROR(SUMIFS(Data!$F:$F,Data!$B:$B,"อโศก",Data!$C:$C,"ITEM0947",Data!$A:$A,DATE(2026,5,28)),"")</f>
        <v/>
      </c>
      <c r="AE15" s="134">
        <f>IFERROR(SUMIFS(Data!$F:$F,Data!$B:$B,"อโศก",Data!$C:$C,"ITEM0947",Data!$A:$A,DATE(2026,5,29)),"")</f>
        <v/>
      </c>
      <c r="AF15" s="134">
        <f>IFERROR(SUMIFS(Data!$F:$F,Data!$B:$B,"อโศก",Data!$C:$C,"ITEM0947",Data!$A:$A,DATE(2026,5,30)),"")</f>
        <v/>
      </c>
      <c r="AG15" s="134">
        <f>IFERROR(SUMIFS(Data!$F:$F,Data!$B:$B,"อโศก",Data!$C:$C,"ITEM0947",Data!$A:$A,DATE(2026,5,31)),"")</f>
        <v/>
      </c>
      <c r="AH15" s="77">
        <f>IFERROR(SUM(C15:AG15),0)</f>
        <v/>
      </c>
      <c r="AI15" s="77">
        <f>AH15*100</f>
        <v/>
      </c>
      <c r="AJ15" s="135">
        <f>IFERROR(AI15/AI20,0)</f>
        <v/>
      </c>
    </row>
    <row r="16" ht="19" customHeight="1" s="87">
      <c r="A16" s="69" t="inlineStr">
        <is>
          <t>ITEM0948</t>
        </is>
      </c>
      <c r="B16" s="70" t="inlineStr">
        <is>
          <t>ชุดเซต ข้าวมันไก่สิงคโปร์</t>
        </is>
      </c>
      <c r="C16" s="132">
        <f>IFERROR(SUMIFS(Data!$F:$F,Data!$B:$B,"อโศก",Data!$C:$C,"ITEM0948",Data!$A:$A,DATE(2026,5,1)),"")</f>
        <v/>
      </c>
      <c r="D16" s="132">
        <f>IFERROR(SUMIFS(Data!$F:$F,Data!$B:$B,"อโศก",Data!$C:$C,"ITEM0948",Data!$A:$A,DATE(2026,5,2)),"")</f>
        <v/>
      </c>
      <c r="E16" s="132">
        <f>IFERROR(SUMIFS(Data!$F:$F,Data!$B:$B,"อโศก",Data!$C:$C,"ITEM0948",Data!$A:$A,DATE(2026,5,3)),"")</f>
        <v/>
      </c>
      <c r="F16" s="132">
        <f>IFERROR(SUMIFS(Data!$F:$F,Data!$B:$B,"อโศก",Data!$C:$C,"ITEM0948",Data!$A:$A,DATE(2026,5,4)),"")</f>
        <v/>
      </c>
      <c r="G16" s="132">
        <f>IFERROR(SUMIFS(Data!$F:$F,Data!$B:$B,"อโศก",Data!$C:$C,"ITEM0948",Data!$A:$A,DATE(2026,5,5)),"")</f>
        <v/>
      </c>
      <c r="H16" s="132">
        <f>IFERROR(SUMIFS(Data!$F:$F,Data!$B:$B,"อโศก",Data!$C:$C,"ITEM0948",Data!$A:$A,DATE(2026,5,6)),"")</f>
        <v/>
      </c>
      <c r="I16" s="132">
        <f>IFERROR(SUMIFS(Data!$F:$F,Data!$B:$B,"อโศก",Data!$C:$C,"ITEM0948",Data!$A:$A,DATE(2026,5,7)),"")</f>
        <v/>
      </c>
      <c r="J16" s="132">
        <f>IFERROR(SUMIFS(Data!$F:$F,Data!$B:$B,"อโศก",Data!$C:$C,"ITEM0948",Data!$A:$A,DATE(2026,5,8)),"")</f>
        <v/>
      </c>
      <c r="K16" s="132">
        <f>IFERROR(SUMIFS(Data!$F:$F,Data!$B:$B,"อโศก",Data!$C:$C,"ITEM0948",Data!$A:$A,DATE(2026,5,9)),"")</f>
        <v/>
      </c>
      <c r="L16" s="132">
        <f>IFERROR(SUMIFS(Data!$F:$F,Data!$B:$B,"อโศก",Data!$C:$C,"ITEM0948",Data!$A:$A,DATE(2026,5,10)),"")</f>
        <v/>
      </c>
      <c r="M16" s="132">
        <f>IFERROR(SUMIFS(Data!$F:$F,Data!$B:$B,"อโศก",Data!$C:$C,"ITEM0948",Data!$A:$A,DATE(2026,5,11)),"")</f>
        <v/>
      </c>
      <c r="N16" s="132">
        <f>IFERROR(SUMIFS(Data!$F:$F,Data!$B:$B,"อโศก",Data!$C:$C,"ITEM0948",Data!$A:$A,DATE(2026,5,12)),"")</f>
        <v/>
      </c>
      <c r="O16" s="132">
        <f>IFERROR(SUMIFS(Data!$F:$F,Data!$B:$B,"อโศก",Data!$C:$C,"ITEM0948",Data!$A:$A,DATE(2026,5,13)),"")</f>
        <v/>
      </c>
      <c r="P16" s="132">
        <f>IFERROR(SUMIFS(Data!$F:$F,Data!$B:$B,"อโศก",Data!$C:$C,"ITEM0948",Data!$A:$A,DATE(2026,5,14)),"")</f>
        <v/>
      </c>
      <c r="Q16" s="132">
        <f>IFERROR(SUMIFS(Data!$F:$F,Data!$B:$B,"อโศก",Data!$C:$C,"ITEM0948",Data!$A:$A,DATE(2026,5,15)),"")</f>
        <v/>
      </c>
      <c r="R16" s="132">
        <f>IFERROR(SUMIFS(Data!$F:$F,Data!$B:$B,"อโศก",Data!$C:$C,"ITEM0948",Data!$A:$A,DATE(2026,5,16)),"")</f>
        <v/>
      </c>
      <c r="S16" s="132">
        <f>IFERROR(SUMIFS(Data!$F:$F,Data!$B:$B,"อโศก",Data!$C:$C,"ITEM0948",Data!$A:$A,DATE(2026,5,17)),"")</f>
        <v/>
      </c>
      <c r="T16" s="132">
        <f>IFERROR(SUMIFS(Data!$F:$F,Data!$B:$B,"อโศก",Data!$C:$C,"ITEM0948",Data!$A:$A,DATE(2026,5,18)),"")</f>
        <v/>
      </c>
      <c r="U16" s="132">
        <f>IFERROR(SUMIFS(Data!$F:$F,Data!$B:$B,"อโศก",Data!$C:$C,"ITEM0948",Data!$A:$A,DATE(2026,5,19)),"")</f>
        <v/>
      </c>
      <c r="V16" s="132">
        <f>IFERROR(SUMIFS(Data!$F:$F,Data!$B:$B,"อโศก",Data!$C:$C,"ITEM0948",Data!$A:$A,DATE(2026,5,20)),"")</f>
        <v/>
      </c>
      <c r="W16" s="132">
        <f>IFERROR(SUMIFS(Data!$F:$F,Data!$B:$B,"อโศก",Data!$C:$C,"ITEM0948",Data!$A:$A,DATE(2026,5,21)),"")</f>
        <v/>
      </c>
      <c r="X16" s="132">
        <f>IFERROR(SUMIFS(Data!$F:$F,Data!$B:$B,"อโศก",Data!$C:$C,"ITEM0948",Data!$A:$A,DATE(2026,5,22)),"")</f>
        <v/>
      </c>
      <c r="Y16" s="132">
        <f>IFERROR(SUMIFS(Data!$F:$F,Data!$B:$B,"อโศก",Data!$C:$C,"ITEM0948",Data!$A:$A,DATE(2026,5,23)),"")</f>
        <v/>
      </c>
      <c r="Z16" s="132">
        <f>IFERROR(SUMIFS(Data!$F:$F,Data!$B:$B,"อโศก",Data!$C:$C,"ITEM0948",Data!$A:$A,DATE(2026,5,24)),"")</f>
        <v/>
      </c>
      <c r="AA16" s="132">
        <f>IFERROR(SUMIFS(Data!$F:$F,Data!$B:$B,"อโศก",Data!$C:$C,"ITEM0948",Data!$A:$A,DATE(2026,5,25)),"")</f>
        <v/>
      </c>
      <c r="AB16" s="132">
        <f>IFERROR(SUMIFS(Data!$F:$F,Data!$B:$B,"อโศก",Data!$C:$C,"ITEM0948",Data!$A:$A,DATE(2026,5,26)),"")</f>
        <v/>
      </c>
      <c r="AC16" s="132">
        <f>IFERROR(SUMIFS(Data!$F:$F,Data!$B:$B,"อโศก",Data!$C:$C,"ITEM0948",Data!$A:$A,DATE(2026,5,27)),"")</f>
        <v/>
      </c>
      <c r="AD16" s="132">
        <f>IFERROR(SUMIFS(Data!$F:$F,Data!$B:$B,"อโศก",Data!$C:$C,"ITEM0948",Data!$A:$A,DATE(2026,5,28)),"")</f>
        <v/>
      </c>
      <c r="AE16" s="132">
        <f>IFERROR(SUMIFS(Data!$F:$F,Data!$B:$B,"อโศก",Data!$C:$C,"ITEM0948",Data!$A:$A,DATE(2026,5,29)),"")</f>
        <v/>
      </c>
      <c r="AF16" s="132">
        <f>IFERROR(SUMIFS(Data!$F:$F,Data!$B:$B,"อโศก",Data!$C:$C,"ITEM0948",Data!$A:$A,DATE(2026,5,30)),"")</f>
        <v/>
      </c>
      <c r="AG16" s="132">
        <f>IFERROR(SUMIFS(Data!$F:$F,Data!$B:$B,"อโศก",Data!$C:$C,"ITEM0948",Data!$A:$A,DATE(2026,5,31)),"")</f>
        <v/>
      </c>
      <c r="AH16" s="72">
        <f>IFERROR(SUM(C16:AG16),0)</f>
        <v/>
      </c>
      <c r="AI16" s="72">
        <f>AH16*119</f>
        <v/>
      </c>
      <c r="AJ16" s="133">
        <f>IFERROR(AI16/AI20,0)</f>
        <v/>
      </c>
    </row>
    <row r="17" ht="19" customHeight="1" s="87">
      <c r="A17" s="74" t="inlineStr">
        <is>
          <t>ITEM0949</t>
        </is>
      </c>
      <c r="B17" s="75" t="inlineStr">
        <is>
          <t>เพิ่มตับนุ่ม</t>
        </is>
      </c>
      <c r="C17" s="134">
        <f>IFERROR(SUMIFS(Data!$F:$F,Data!$B:$B,"อโศก",Data!$C:$C,"ITEM0949",Data!$A:$A,DATE(2026,5,1)),"")</f>
        <v/>
      </c>
      <c r="D17" s="134">
        <f>IFERROR(SUMIFS(Data!$F:$F,Data!$B:$B,"อโศก",Data!$C:$C,"ITEM0949",Data!$A:$A,DATE(2026,5,2)),"")</f>
        <v/>
      </c>
      <c r="E17" s="134">
        <f>IFERROR(SUMIFS(Data!$F:$F,Data!$B:$B,"อโศก",Data!$C:$C,"ITEM0949",Data!$A:$A,DATE(2026,5,3)),"")</f>
        <v/>
      </c>
      <c r="F17" s="134">
        <f>IFERROR(SUMIFS(Data!$F:$F,Data!$B:$B,"อโศก",Data!$C:$C,"ITEM0949",Data!$A:$A,DATE(2026,5,4)),"")</f>
        <v/>
      </c>
      <c r="G17" s="134">
        <f>IFERROR(SUMIFS(Data!$F:$F,Data!$B:$B,"อโศก",Data!$C:$C,"ITEM0949",Data!$A:$A,DATE(2026,5,5)),"")</f>
        <v/>
      </c>
      <c r="H17" s="134">
        <f>IFERROR(SUMIFS(Data!$F:$F,Data!$B:$B,"อโศก",Data!$C:$C,"ITEM0949",Data!$A:$A,DATE(2026,5,6)),"")</f>
        <v/>
      </c>
      <c r="I17" s="134">
        <f>IFERROR(SUMIFS(Data!$F:$F,Data!$B:$B,"อโศก",Data!$C:$C,"ITEM0949",Data!$A:$A,DATE(2026,5,7)),"")</f>
        <v/>
      </c>
      <c r="J17" s="134">
        <f>IFERROR(SUMIFS(Data!$F:$F,Data!$B:$B,"อโศก",Data!$C:$C,"ITEM0949",Data!$A:$A,DATE(2026,5,8)),"")</f>
        <v/>
      </c>
      <c r="K17" s="134">
        <f>IFERROR(SUMIFS(Data!$F:$F,Data!$B:$B,"อโศก",Data!$C:$C,"ITEM0949",Data!$A:$A,DATE(2026,5,9)),"")</f>
        <v/>
      </c>
      <c r="L17" s="134">
        <f>IFERROR(SUMIFS(Data!$F:$F,Data!$B:$B,"อโศก",Data!$C:$C,"ITEM0949",Data!$A:$A,DATE(2026,5,10)),"")</f>
        <v/>
      </c>
      <c r="M17" s="134">
        <f>IFERROR(SUMIFS(Data!$F:$F,Data!$B:$B,"อโศก",Data!$C:$C,"ITEM0949",Data!$A:$A,DATE(2026,5,11)),"")</f>
        <v/>
      </c>
      <c r="N17" s="134">
        <f>IFERROR(SUMIFS(Data!$F:$F,Data!$B:$B,"อโศก",Data!$C:$C,"ITEM0949",Data!$A:$A,DATE(2026,5,12)),"")</f>
        <v/>
      </c>
      <c r="O17" s="134">
        <f>IFERROR(SUMIFS(Data!$F:$F,Data!$B:$B,"อโศก",Data!$C:$C,"ITEM0949",Data!$A:$A,DATE(2026,5,13)),"")</f>
        <v/>
      </c>
      <c r="P17" s="134">
        <f>IFERROR(SUMIFS(Data!$F:$F,Data!$B:$B,"อโศก",Data!$C:$C,"ITEM0949",Data!$A:$A,DATE(2026,5,14)),"")</f>
        <v/>
      </c>
      <c r="Q17" s="134">
        <f>IFERROR(SUMIFS(Data!$F:$F,Data!$B:$B,"อโศก",Data!$C:$C,"ITEM0949",Data!$A:$A,DATE(2026,5,15)),"")</f>
        <v/>
      </c>
      <c r="R17" s="134">
        <f>IFERROR(SUMIFS(Data!$F:$F,Data!$B:$B,"อโศก",Data!$C:$C,"ITEM0949",Data!$A:$A,DATE(2026,5,16)),"")</f>
        <v/>
      </c>
      <c r="S17" s="134">
        <f>IFERROR(SUMIFS(Data!$F:$F,Data!$B:$B,"อโศก",Data!$C:$C,"ITEM0949",Data!$A:$A,DATE(2026,5,17)),"")</f>
        <v/>
      </c>
      <c r="T17" s="134">
        <f>IFERROR(SUMIFS(Data!$F:$F,Data!$B:$B,"อโศก",Data!$C:$C,"ITEM0949",Data!$A:$A,DATE(2026,5,18)),"")</f>
        <v/>
      </c>
      <c r="U17" s="134">
        <f>IFERROR(SUMIFS(Data!$F:$F,Data!$B:$B,"อโศก",Data!$C:$C,"ITEM0949",Data!$A:$A,DATE(2026,5,19)),"")</f>
        <v/>
      </c>
      <c r="V17" s="134">
        <f>IFERROR(SUMIFS(Data!$F:$F,Data!$B:$B,"อโศก",Data!$C:$C,"ITEM0949",Data!$A:$A,DATE(2026,5,20)),"")</f>
        <v/>
      </c>
      <c r="W17" s="134">
        <f>IFERROR(SUMIFS(Data!$F:$F,Data!$B:$B,"อโศก",Data!$C:$C,"ITEM0949",Data!$A:$A,DATE(2026,5,21)),"")</f>
        <v/>
      </c>
      <c r="X17" s="134">
        <f>IFERROR(SUMIFS(Data!$F:$F,Data!$B:$B,"อโศก",Data!$C:$C,"ITEM0949",Data!$A:$A,DATE(2026,5,22)),"")</f>
        <v/>
      </c>
      <c r="Y17" s="134">
        <f>IFERROR(SUMIFS(Data!$F:$F,Data!$B:$B,"อโศก",Data!$C:$C,"ITEM0949",Data!$A:$A,DATE(2026,5,23)),"")</f>
        <v/>
      </c>
      <c r="Z17" s="134">
        <f>IFERROR(SUMIFS(Data!$F:$F,Data!$B:$B,"อโศก",Data!$C:$C,"ITEM0949",Data!$A:$A,DATE(2026,5,24)),"")</f>
        <v/>
      </c>
      <c r="AA17" s="134">
        <f>IFERROR(SUMIFS(Data!$F:$F,Data!$B:$B,"อโศก",Data!$C:$C,"ITEM0949",Data!$A:$A,DATE(2026,5,25)),"")</f>
        <v/>
      </c>
      <c r="AB17" s="134">
        <f>IFERROR(SUMIFS(Data!$F:$F,Data!$B:$B,"อโศก",Data!$C:$C,"ITEM0949",Data!$A:$A,DATE(2026,5,26)),"")</f>
        <v/>
      </c>
      <c r="AC17" s="134">
        <f>IFERROR(SUMIFS(Data!$F:$F,Data!$B:$B,"อโศก",Data!$C:$C,"ITEM0949",Data!$A:$A,DATE(2026,5,27)),"")</f>
        <v/>
      </c>
      <c r="AD17" s="134">
        <f>IFERROR(SUMIFS(Data!$F:$F,Data!$B:$B,"อโศก",Data!$C:$C,"ITEM0949",Data!$A:$A,DATE(2026,5,28)),"")</f>
        <v/>
      </c>
      <c r="AE17" s="134">
        <f>IFERROR(SUMIFS(Data!$F:$F,Data!$B:$B,"อโศก",Data!$C:$C,"ITEM0949",Data!$A:$A,DATE(2026,5,29)),"")</f>
        <v/>
      </c>
      <c r="AF17" s="134">
        <f>IFERROR(SUMIFS(Data!$F:$F,Data!$B:$B,"อโศก",Data!$C:$C,"ITEM0949",Data!$A:$A,DATE(2026,5,30)),"")</f>
        <v/>
      </c>
      <c r="AG17" s="134">
        <f>IFERROR(SUMIFS(Data!$F:$F,Data!$B:$B,"อโศก",Data!$C:$C,"ITEM0949",Data!$A:$A,DATE(2026,5,31)),"")</f>
        <v/>
      </c>
      <c r="AH17" s="77">
        <f>IFERROR(SUM(C17:AG17),0)</f>
        <v/>
      </c>
      <c r="AI17" s="77">
        <f>AH17*15</f>
        <v/>
      </c>
      <c r="AJ17" s="135">
        <f>IFERROR(AI17/AI20,0)</f>
        <v/>
      </c>
    </row>
    <row r="18" ht="19" customHeight="1" s="87">
      <c r="A18" s="69" t="inlineStr">
        <is>
          <t>ITEM0950</t>
        </is>
      </c>
      <c r="B18" s="70" t="inlineStr">
        <is>
          <t>ไข่ยางมะตูม</t>
        </is>
      </c>
      <c r="C18" s="132">
        <f>IFERROR(SUMIFS(Data!$F:$F,Data!$B:$B,"อโศก",Data!$C:$C,"ITEM0950",Data!$A:$A,DATE(2026,5,1)),"")</f>
        <v/>
      </c>
      <c r="D18" s="132">
        <f>IFERROR(SUMIFS(Data!$F:$F,Data!$B:$B,"อโศก",Data!$C:$C,"ITEM0950",Data!$A:$A,DATE(2026,5,2)),"")</f>
        <v/>
      </c>
      <c r="E18" s="132">
        <f>IFERROR(SUMIFS(Data!$F:$F,Data!$B:$B,"อโศก",Data!$C:$C,"ITEM0950",Data!$A:$A,DATE(2026,5,3)),"")</f>
        <v/>
      </c>
      <c r="F18" s="132">
        <f>IFERROR(SUMIFS(Data!$F:$F,Data!$B:$B,"อโศก",Data!$C:$C,"ITEM0950",Data!$A:$A,DATE(2026,5,4)),"")</f>
        <v/>
      </c>
      <c r="G18" s="132">
        <f>IFERROR(SUMIFS(Data!$F:$F,Data!$B:$B,"อโศก",Data!$C:$C,"ITEM0950",Data!$A:$A,DATE(2026,5,5)),"")</f>
        <v/>
      </c>
      <c r="H18" s="132">
        <f>IFERROR(SUMIFS(Data!$F:$F,Data!$B:$B,"อโศก",Data!$C:$C,"ITEM0950",Data!$A:$A,DATE(2026,5,6)),"")</f>
        <v/>
      </c>
      <c r="I18" s="132">
        <f>IFERROR(SUMIFS(Data!$F:$F,Data!$B:$B,"อโศก",Data!$C:$C,"ITEM0950",Data!$A:$A,DATE(2026,5,7)),"")</f>
        <v/>
      </c>
      <c r="J18" s="132">
        <f>IFERROR(SUMIFS(Data!$F:$F,Data!$B:$B,"อโศก",Data!$C:$C,"ITEM0950",Data!$A:$A,DATE(2026,5,8)),"")</f>
        <v/>
      </c>
      <c r="K18" s="132">
        <f>IFERROR(SUMIFS(Data!$F:$F,Data!$B:$B,"อโศก",Data!$C:$C,"ITEM0950",Data!$A:$A,DATE(2026,5,9)),"")</f>
        <v/>
      </c>
      <c r="L18" s="132">
        <f>IFERROR(SUMIFS(Data!$F:$F,Data!$B:$B,"อโศก",Data!$C:$C,"ITEM0950",Data!$A:$A,DATE(2026,5,10)),"")</f>
        <v/>
      </c>
      <c r="M18" s="132">
        <f>IFERROR(SUMIFS(Data!$F:$F,Data!$B:$B,"อโศก",Data!$C:$C,"ITEM0950",Data!$A:$A,DATE(2026,5,11)),"")</f>
        <v/>
      </c>
      <c r="N18" s="132">
        <f>IFERROR(SUMIFS(Data!$F:$F,Data!$B:$B,"อโศก",Data!$C:$C,"ITEM0950",Data!$A:$A,DATE(2026,5,12)),"")</f>
        <v/>
      </c>
      <c r="O18" s="132">
        <f>IFERROR(SUMIFS(Data!$F:$F,Data!$B:$B,"อโศก",Data!$C:$C,"ITEM0950",Data!$A:$A,DATE(2026,5,13)),"")</f>
        <v/>
      </c>
      <c r="P18" s="132">
        <f>IFERROR(SUMIFS(Data!$F:$F,Data!$B:$B,"อโศก",Data!$C:$C,"ITEM0950",Data!$A:$A,DATE(2026,5,14)),"")</f>
        <v/>
      </c>
      <c r="Q18" s="132">
        <f>IFERROR(SUMIFS(Data!$F:$F,Data!$B:$B,"อโศก",Data!$C:$C,"ITEM0950",Data!$A:$A,DATE(2026,5,15)),"")</f>
        <v/>
      </c>
      <c r="R18" s="132">
        <f>IFERROR(SUMIFS(Data!$F:$F,Data!$B:$B,"อโศก",Data!$C:$C,"ITEM0950",Data!$A:$A,DATE(2026,5,16)),"")</f>
        <v/>
      </c>
      <c r="S18" s="132">
        <f>IFERROR(SUMIFS(Data!$F:$F,Data!$B:$B,"อโศก",Data!$C:$C,"ITEM0950",Data!$A:$A,DATE(2026,5,17)),"")</f>
        <v/>
      </c>
      <c r="T18" s="132">
        <f>IFERROR(SUMIFS(Data!$F:$F,Data!$B:$B,"อโศก",Data!$C:$C,"ITEM0950",Data!$A:$A,DATE(2026,5,18)),"")</f>
        <v/>
      </c>
      <c r="U18" s="132">
        <f>IFERROR(SUMIFS(Data!$F:$F,Data!$B:$B,"อโศก",Data!$C:$C,"ITEM0950",Data!$A:$A,DATE(2026,5,19)),"")</f>
        <v/>
      </c>
      <c r="V18" s="132">
        <f>IFERROR(SUMIFS(Data!$F:$F,Data!$B:$B,"อโศก",Data!$C:$C,"ITEM0950",Data!$A:$A,DATE(2026,5,20)),"")</f>
        <v/>
      </c>
      <c r="W18" s="132">
        <f>IFERROR(SUMIFS(Data!$F:$F,Data!$B:$B,"อโศก",Data!$C:$C,"ITEM0950",Data!$A:$A,DATE(2026,5,21)),"")</f>
        <v/>
      </c>
      <c r="X18" s="132">
        <f>IFERROR(SUMIFS(Data!$F:$F,Data!$B:$B,"อโศก",Data!$C:$C,"ITEM0950",Data!$A:$A,DATE(2026,5,22)),"")</f>
        <v/>
      </c>
      <c r="Y18" s="132">
        <f>IFERROR(SUMIFS(Data!$F:$F,Data!$B:$B,"อโศก",Data!$C:$C,"ITEM0950",Data!$A:$A,DATE(2026,5,23)),"")</f>
        <v/>
      </c>
      <c r="Z18" s="132">
        <f>IFERROR(SUMIFS(Data!$F:$F,Data!$B:$B,"อโศก",Data!$C:$C,"ITEM0950",Data!$A:$A,DATE(2026,5,24)),"")</f>
        <v/>
      </c>
      <c r="AA18" s="132">
        <f>IFERROR(SUMIFS(Data!$F:$F,Data!$B:$B,"อโศก",Data!$C:$C,"ITEM0950",Data!$A:$A,DATE(2026,5,25)),"")</f>
        <v/>
      </c>
      <c r="AB18" s="132">
        <f>IFERROR(SUMIFS(Data!$F:$F,Data!$B:$B,"อโศก",Data!$C:$C,"ITEM0950",Data!$A:$A,DATE(2026,5,26)),"")</f>
        <v/>
      </c>
      <c r="AC18" s="132">
        <f>IFERROR(SUMIFS(Data!$F:$F,Data!$B:$B,"อโศก",Data!$C:$C,"ITEM0950",Data!$A:$A,DATE(2026,5,27)),"")</f>
        <v/>
      </c>
      <c r="AD18" s="132">
        <f>IFERROR(SUMIFS(Data!$F:$F,Data!$B:$B,"อโศก",Data!$C:$C,"ITEM0950",Data!$A:$A,DATE(2026,5,28)),"")</f>
        <v/>
      </c>
      <c r="AE18" s="132">
        <f>IFERROR(SUMIFS(Data!$F:$F,Data!$B:$B,"อโศก",Data!$C:$C,"ITEM0950",Data!$A:$A,DATE(2026,5,29)),"")</f>
        <v/>
      </c>
      <c r="AF18" s="132">
        <f>IFERROR(SUMIFS(Data!$F:$F,Data!$B:$B,"อโศก",Data!$C:$C,"ITEM0950",Data!$A:$A,DATE(2026,5,30)),"")</f>
        <v/>
      </c>
      <c r="AG18" s="132">
        <f>IFERROR(SUMIFS(Data!$F:$F,Data!$B:$B,"อโศก",Data!$C:$C,"ITEM0950",Data!$A:$A,DATE(2026,5,31)),"")</f>
        <v/>
      </c>
      <c r="AH18" s="72">
        <f>IFERROR(SUM(C18:AG18),0)</f>
        <v/>
      </c>
      <c r="AI18" s="72">
        <f>AH18*7</f>
        <v/>
      </c>
      <c r="AJ18" s="133">
        <f>IFERROR(AI18/AI20,0)</f>
        <v/>
      </c>
    </row>
    <row r="19" ht="3.75" customHeight="1" s="87"/>
    <row r="20" ht="24" customHeight="1" s="87">
      <c r="A20" s="79" t="n"/>
      <c r="B20" s="34" t="inlineStr">
        <is>
          <t>รวมทั้งหมด</t>
        </is>
      </c>
      <c r="C20" s="80">
        <f>IFERROR(SUM(C4:C18),0)</f>
        <v/>
      </c>
      <c r="D20" s="80">
        <f>IFERROR(SUM(D4:D18),0)</f>
        <v/>
      </c>
      <c r="E20" s="80">
        <f>IFERROR(SUM(E4:E18),0)</f>
        <v/>
      </c>
      <c r="F20" s="80">
        <f>IFERROR(SUM(F4:F18),0)</f>
        <v/>
      </c>
      <c r="G20" s="80">
        <f>IFERROR(SUM(G4:G18),0)</f>
        <v/>
      </c>
      <c r="H20" s="80">
        <f>IFERROR(SUM(H4:H18),0)</f>
        <v/>
      </c>
      <c r="I20" s="80">
        <f>IFERROR(SUM(I4:I18),0)</f>
        <v/>
      </c>
      <c r="J20" s="80">
        <f>IFERROR(SUM(J4:J18),0)</f>
        <v/>
      </c>
      <c r="K20" s="80">
        <f>IFERROR(SUM(K4:K18),0)</f>
        <v/>
      </c>
      <c r="L20" s="80">
        <f>IFERROR(SUM(L4:L18),0)</f>
        <v/>
      </c>
      <c r="M20" s="80">
        <f>IFERROR(SUM(M4:M18),0)</f>
        <v/>
      </c>
      <c r="N20" s="80">
        <f>IFERROR(SUM(N4:N18),0)</f>
        <v/>
      </c>
      <c r="O20" s="80">
        <f>IFERROR(SUM(O4:O18),0)</f>
        <v/>
      </c>
      <c r="P20" s="80">
        <f>IFERROR(SUM(P4:P18),0)</f>
        <v/>
      </c>
      <c r="Q20" s="80">
        <f>IFERROR(SUM(Q4:Q18),0)</f>
        <v/>
      </c>
      <c r="R20" s="80">
        <f>IFERROR(SUM(R4:R18),0)</f>
        <v/>
      </c>
      <c r="S20" s="80">
        <f>IFERROR(SUM(S4:S18),0)</f>
        <v/>
      </c>
      <c r="T20" s="80">
        <f>IFERROR(SUM(T4:T18),0)</f>
        <v/>
      </c>
      <c r="U20" s="80">
        <f>IFERROR(SUM(U4:U18),0)</f>
        <v/>
      </c>
      <c r="V20" s="80">
        <f>IFERROR(SUM(V4:V18),0)</f>
        <v/>
      </c>
      <c r="W20" s="80">
        <f>IFERROR(SUM(W4:W18),0)</f>
        <v/>
      </c>
      <c r="X20" s="80">
        <f>IFERROR(SUM(X4:X18),0)</f>
        <v/>
      </c>
      <c r="Y20" s="80">
        <f>IFERROR(SUM(Y4:Y18),0)</f>
        <v/>
      </c>
      <c r="Z20" s="80">
        <f>IFERROR(SUM(Z4:Z18),0)</f>
        <v/>
      </c>
      <c r="AA20" s="80">
        <f>IFERROR(SUM(AA4:AA18),0)</f>
        <v/>
      </c>
      <c r="AB20" s="80">
        <f>IFERROR(SUM(AB4:AB18),0)</f>
        <v/>
      </c>
      <c r="AC20" s="80">
        <f>IFERROR(SUM(AC4:AC18),0)</f>
        <v/>
      </c>
      <c r="AD20" s="80">
        <f>IFERROR(SUM(AD4:AD18),0)</f>
        <v/>
      </c>
      <c r="AE20" s="80">
        <f>IFERROR(SUM(AE4:AE18),0)</f>
        <v/>
      </c>
      <c r="AF20" s="80">
        <f>IFERROR(SUM(AF4:AF18),0)</f>
        <v/>
      </c>
      <c r="AG20" s="80">
        <f>IFERROR(SUM(AG4:AG18),0)</f>
        <v/>
      </c>
      <c r="AH20" s="35">
        <f>IFERROR(SUM(AH4:AH18),0)</f>
        <v/>
      </c>
      <c r="AI20" s="35">
        <f>IFERROR(SUM(AI4:AI18),0)</f>
        <v/>
      </c>
      <c r="AJ20" s="79" t="n"/>
    </row>
    <row r="21" ht="3.75" customHeight="1" s="87"/>
    <row r="22" ht="24" customHeight="1" s="87">
      <c r="A22" s="113" t="inlineStr">
        <is>
          <t>ยอดรวมจาก Data (฿)</t>
        </is>
      </c>
      <c r="B22" s="117" t="n"/>
      <c r="C22" s="136">
        <f>IFERROR(SUMIFS(Data!$F:$F,Data!$B:$B,"อโศก",Data!$A:$A,DATE(2026,5,1)),"—")</f>
        <v/>
      </c>
      <c r="D22" s="136">
        <f>IFERROR(SUMIFS(Data!$F:$F,Data!$B:$B,"อโศก",Data!$A:$A,DATE(2026,5,2)),"—")</f>
        <v/>
      </c>
      <c r="E22" s="136">
        <f>IFERROR(SUMIFS(Data!$F:$F,Data!$B:$B,"อโศก",Data!$A:$A,DATE(2026,5,3)),"—")</f>
        <v/>
      </c>
      <c r="F22" s="136">
        <f>IFERROR(SUMIFS(Data!$F:$F,Data!$B:$B,"อโศก",Data!$A:$A,DATE(2026,5,4)),"—")</f>
        <v/>
      </c>
      <c r="G22" s="136">
        <f>IFERROR(SUMIFS(Data!$F:$F,Data!$B:$B,"อโศก",Data!$A:$A,DATE(2026,5,5)),"—")</f>
        <v/>
      </c>
      <c r="H22" s="136">
        <f>IFERROR(SUMIFS(Data!$F:$F,Data!$B:$B,"อโศก",Data!$A:$A,DATE(2026,5,6)),"—")</f>
        <v/>
      </c>
      <c r="I22" s="136">
        <f>IFERROR(SUMIFS(Data!$F:$F,Data!$B:$B,"อโศก",Data!$A:$A,DATE(2026,5,7)),"—")</f>
        <v/>
      </c>
      <c r="J22" s="136">
        <f>IFERROR(SUMIFS(Data!$F:$F,Data!$B:$B,"อโศก",Data!$A:$A,DATE(2026,5,8)),"—")</f>
        <v/>
      </c>
      <c r="K22" s="136">
        <f>IFERROR(SUMIFS(Data!$F:$F,Data!$B:$B,"อโศก",Data!$A:$A,DATE(2026,5,9)),"—")</f>
        <v/>
      </c>
      <c r="L22" s="136">
        <f>IFERROR(SUMIFS(Data!$F:$F,Data!$B:$B,"อโศก",Data!$A:$A,DATE(2026,5,10)),"—")</f>
        <v/>
      </c>
      <c r="M22" s="136">
        <f>IFERROR(SUMIFS(Data!$F:$F,Data!$B:$B,"อโศก",Data!$A:$A,DATE(2026,5,11)),"—")</f>
        <v/>
      </c>
      <c r="N22" s="136">
        <f>IFERROR(SUMIFS(Data!$F:$F,Data!$B:$B,"อโศก",Data!$A:$A,DATE(2026,5,12)),"—")</f>
        <v/>
      </c>
      <c r="O22" s="136">
        <f>IFERROR(SUMIFS(Data!$F:$F,Data!$B:$B,"อโศก",Data!$A:$A,DATE(2026,5,13)),"—")</f>
        <v/>
      </c>
      <c r="P22" s="136">
        <f>IFERROR(SUMIFS(Data!$F:$F,Data!$B:$B,"อโศก",Data!$A:$A,DATE(2026,5,14)),"—")</f>
        <v/>
      </c>
      <c r="Q22" s="136">
        <f>IFERROR(SUMIFS(Data!$F:$F,Data!$B:$B,"อโศก",Data!$A:$A,DATE(2026,5,15)),"—")</f>
        <v/>
      </c>
      <c r="R22" s="136">
        <f>IFERROR(SUMIFS(Data!$F:$F,Data!$B:$B,"อโศก",Data!$A:$A,DATE(2026,5,16)),"—")</f>
        <v/>
      </c>
      <c r="S22" s="136">
        <f>IFERROR(SUMIFS(Data!$F:$F,Data!$B:$B,"อโศก",Data!$A:$A,DATE(2026,5,17)),"—")</f>
        <v/>
      </c>
      <c r="T22" s="136">
        <f>IFERROR(SUMIFS(Data!$F:$F,Data!$B:$B,"อโศก",Data!$A:$A,DATE(2026,5,18)),"—")</f>
        <v/>
      </c>
      <c r="U22" s="136">
        <f>IFERROR(SUMIFS(Data!$F:$F,Data!$B:$B,"อโศก",Data!$A:$A,DATE(2026,5,19)),"—")</f>
        <v/>
      </c>
      <c r="V22" s="136">
        <f>IFERROR(SUMIFS(Data!$F:$F,Data!$B:$B,"อโศก",Data!$A:$A,DATE(2026,5,20)),"—")</f>
        <v/>
      </c>
      <c r="W22" s="136">
        <f>IFERROR(SUMIFS(Data!$F:$F,Data!$B:$B,"อโศก",Data!$A:$A,DATE(2026,5,21)),"—")</f>
        <v/>
      </c>
      <c r="X22" s="136">
        <f>IFERROR(SUMIFS(Data!$F:$F,Data!$B:$B,"อโศก",Data!$A:$A,DATE(2026,5,22)),"—")</f>
        <v/>
      </c>
      <c r="Y22" s="136">
        <f>IFERROR(SUMIFS(Data!$F:$F,Data!$B:$B,"อโศก",Data!$A:$A,DATE(2026,5,23)),"—")</f>
        <v/>
      </c>
      <c r="Z22" s="136">
        <f>IFERROR(SUMIFS(Data!$F:$F,Data!$B:$B,"อโศก",Data!$A:$A,DATE(2026,5,24)),"—")</f>
        <v/>
      </c>
      <c r="AA22" s="136">
        <f>IFERROR(SUMIFS(Data!$F:$F,Data!$B:$B,"อโศก",Data!$A:$A,DATE(2026,5,25)),"—")</f>
        <v/>
      </c>
      <c r="AB22" s="136">
        <f>IFERROR(SUMIFS(Data!$F:$F,Data!$B:$B,"อโศก",Data!$A:$A,DATE(2026,5,26)),"—")</f>
        <v/>
      </c>
      <c r="AC22" s="136">
        <f>IFERROR(SUMIFS(Data!$F:$F,Data!$B:$B,"อโศก",Data!$A:$A,DATE(2026,5,27)),"—")</f>
        <v/>
      </c>
      <c r="AD22" s="136">
        <f>IFERROR(SUMIFS(Data!$F:$F,Data!$B:$B,"อโศก",Data!$A:$A,DATE(2026,5,28)),"—")</f>
        <v/>
      </c>
      <c r="AE22" s="136">
        <f>IFERROR(SUMIFS(Data!$F:$F,Data!$B:$B,"อโศก",Data!$A:$A,DATE(2026,5,29)),"—")</f>
        <v/>
      </c>
      <c r="AF22" s="136">
        <f>IFERROR(SUMIFS(Data!$F:$F,Data!$B:$B,"อโศก",Data!$A:$A,DATE(2026,5,30)),"—")</f>
        <v/>
      </c>
      <c r="AG22" s="136">
        <f>IFERROR(SUMIFS(Data!$F:$F,Data!$B:$B,"อโศก",Data!$A:$A,DATE(2026,5,31)),"—")</f>
        <v/>
      </c>
      <c r="AH22" s="82">
        <f>IFERROR(SUMIFS(Data!$F:$F,Data!$B:$B,"อโศก",Data!$A:$A,"&gt;="&amp;DATE(2026,5,1),Data!$A:$A,"&lt;="&amp;DATE(2026,5,31)),0)</f>
        <v/>
      </c>
      <c r="AK22" s="83">
        <f>IFERROR(SUMIFS(Data!$F:$F,Data!$B:$B,"อโศก",Data!$A:$A,"&gt;="&amp;DATE(2026,5,1),Data!$A:$A,"&lt;="&amp;DATE(2026,5,15)),0)</f>
        <v/>
      </c>
      <c r="AL22" s="83">
        <f>IFERROR(SUMIFS(Data!$F:$F,Data!$B:$B,"อโศก",Data!$A:$A,"&gt;="&amp;DATE(2026,5,16),Data!$A:$A,"&lt;="&amp;DATE(2026,5,31)),0)</f>
        <v/>
      </c>
      <c r="AM22" s="84">
        <f>AK22*0.9803738318</f>
        <v/>
      </c>
      <c r="AN22" s="84">
        <f>AL22*0.9803738318</f>
        <v/>
      </c>
    </row>
  </sheetData>
  <mergeCells count="2">
    <mergeCell ref="A22:B22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87" min="1" max="1"/>
    <col width="28" customWidth="1" style="87" min="2" max="2"/>
    <col width="7" customWidth="1" style="87" min="3" max="33"/>
    <col width="11" customWidth="1" style="87" min="34" max="34"/>
    <col width="12" customWidth="1" style="87" min="35" max="35"/>
    <col width="11" customWidth="1" style="87" min="36" max="36"/>
    <col width="13" customWidth="1" style="87" min="37" max="38"/>
    <col width="14" customWidth="1" style="87" min="39" max="40"/>
  </cols>
  <sheetData>
    <row r="1" ht="27.75" customHeight="1" s="87">
      <c r="A1" s="115" t="inlineStr">
        <is>
          <t>สาขา พระราม 3 — ยอดขายรายเมนู พฤษภาคม 2569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7" t="n"/>
    </row>
    <row r="2" ht="6" customHeight="1" s="87"/>
    <row r="3" ht="21.75" customHeight="1" s="87">
      <c r="A3" s="97" t="inlineStr">
        <is>
          <t>Item_Code</t>
        </is>
      </c>
      <c r="B3" s="51" t="inlineStr">
        <is>
          <t>ชื่อเมนู</t>
        </is>
      </c>
      <c r="C3" s="63" t="inlineStr">
        <is>
          <t>ศ
1/5</t>
        </is>
      </c>
      <c r="D3" s="63" t="inlineStr">
        <is>
          <t>ส
2/5</t>
        </is>
      </c>
      <c r="E3" s="63" t="inlineStr">
        <is>
          <t>อา
3/5</t>
        </is>
      </c>
      <c r="F3" s="63" t="inlineStr">
        <is>
          <t>จ
4/5</t>
        </is>
      </c>
      <c r="G3" s="63" t="inlineStr">
        <is>
          <t>อ
5/5</t>
        </is>
      </c>
      <c r="H3" s="63" t="inlineStr">
        <is>
          <t>พ
6/5</t>
        </is>
      </c>
      <c r="I3" s="63" t="inlineStr">
        <is>
          <t>พฤ
7/5</t>
        </is>
      </c>
      <c r="J3" s="63" t="inlineStr">
        <is>
          <t>ศ
8/5</t>
        </is>
      </c>
      <c r="K3" s="63" t="inlineStr">
        <is>
          <t>ส
9/5</t>
        </is>
      </c>
      <c r="L3" s="63" t="inlineStr">
        <is>
          <t>อา
10/5</t>
        </is>
      </c>
      <c r="M3" s="63" t="inlineStr">
        <is>
          <t>จ
11/5</t>
        </is>
      </c>
      <c r="N3" s="63" t="inlineStr">
        <is>
          <t>อ
12/5</t>
        </is>
      </c>
      <c r="O3" s="63" t="inlineStr">
        <is>
          <t>พ
13/5</t>
        </is>
      </c>
      <c r="P3" s="63" t="inlineStr">
        <is>
          <t>พฤ
14/5</t>
        </is>
      </c>
      <c r="Q3" s="63" t="inlineStr">
        <is>
          <t>ศ
15/5</t>
        </is>
      </c>
      <c r="R3" s="63" t="inlineStr">
        <is>
          <t>ส
16/5</t>
        </is>
      </c>
      <c r="S3" s="63" t="inlineStr">
        <is>
          <t>อา
17/5</t>
        </is>
      </c>
      <c r="T3" s="63" t="inlineStr">
        <is>
          <t>จ
18/5</t>
        </is>
      </c>
      <c r="U3" s="63" t="inlineStr">
        <is>
          <t>อ
19/5</t>
        </is>
      </c>
      <c r="V3" s="63" t="inlineStr">
        <is>
          <t>พ
20/5</t>
        </is>
      </c>
      <c r="W3" s="63" t="inlineStr">
        <is>
          <t>พฤ
21/5</t>
        </is>
      </c>
      <c r="X3" s="63" t="inlineStr">
        <is>
          <t>ศ
22/5</t>
        </is>
      </c>
      <c r="Y3" s="63" t="inlineStr">
        <is>
          <t>ส
23/5</t>
        </is>
      </c>
      <c r="Z3" s="63" t="inlineStr">
        <is>
          <t>อา
24/5</t>
        </is>
      </c>
      <c r="AA3" s="63" t="inlineStr">
        <is>
          <t>จ
25/5</t>
        </is>
      </c>
      <c r="AB3" s="63" t="inlineStr">
        <is>
          <t>อ
26/5</t>
        </is>
      </c>
      <c r="AC3" s="63" t="inlineStr">
        <is>
          <t>พ
27/5</t>
        </is>
      </c>
      <c r="AD3" s="63" t="inlineStr">
        <is>
          <t>พฤ
28/5</t>
        </is>
      </c>
      <c r="AE3" s="63" t="inlineStr">
        <is>
          <t>ศ
29/5</t>
        </is>
      </c>
      <c r="AF3" s="63" t="inlineStr">
        <is>
          <t>ส
30/5</t>
        </is>
      </c>
      <c r="AG3" s="63" t="inlineStr">
        <is>
          <t>อา
31/5</t>
        </is>
      </c>
      <c r="AH3" s="106" t="inlineStr">
        <is>
          <t>รวม (จาน)</t>
        </is>
      </c>
      <c r="AI3" s="106" t="inlineStr">
        <is>
          <t>รวม (฿)</t>
        </is>
      </c>
      <c r="AJ3" s="106" t="inlineStr">
        <is>
          <t>%</t>
        </is>
      </c>
      <c r="AK3" s="106" t="inlineStr">
        <is>
          <t>ยอดขาย 1-15</t>
        </is>
      </c>
      <c r="AL3" s="106" t="inlineStr">
        <is>
          <t>ยอดขาย 16-31</t>
        </is>
      </c>
      <c r="AM3" s="37" t="inlineStr">
        <is>
          <t>ยอดรับ 1-15</t>
        </is>
      </c>
      <c r="AN3" s="37" t="inlineStr">
        <is>
          <t>ยอดรับ 16-31</t>
        </is>
      </c>
    </row>
    <row r="4" ht="19" customHeight="1" s="87">
      <c r="A4" s="64" t="inlineStr">
        <is>
          <t>ITEM0012</t>
        </is>
      </c>
      <c r="B4" s="65" t="inlineStr">
        <is>
          <t>กลับบ้านเพิ่ม</t>
        </is>
      </c>
      <c r="C4" s="130">
        <f>IFERROR(SUMIFS(Data!$F:$F,Data!$B:$B,"พระราม 3",Data!$C:$C,"ITEM0012",Data!$A:$A,DATE(2026,5,1)),"")</f>
        <v/>
      </c>
      <c r="D4" s="130">
        <f>IFERROR(SUMIFS(Data!$F:$F,Data!$B:$B,"พระราม 3",Data!$C:$C,"ITEM0012",Data!$A:$A,DATE(2026,5,2)),"")</f>
        <v/>
      </c>
      <c r="E4" s="130">
        <f>IFERROR(SUMIFS(Data!$F:$F,Data!$B:$B,"พระราม 3",Data!$C:$C,"ITEM0012",Data!$A:$A,DATE(2026,5,3)),"")</f>
        <v/>
      </c>
      <c r="F4" s="130">
        <f>IFERROR(SUMIFS(Data!$F:$F,Data!$B:$B,"พระราม 3",Data!$C:$C,"ITEM0012",Data!$A:$A,DATE(2026,5,4)),"")</f>
        <v/>
      </c>
      <c r="G4" s="130">
        <f>IFERROR(SUMIFS(Data!$F:$F,Data!$B:$B,"พระราม 3",Data!$C:$C,"ITEM0012",Data!$A:$A,DATE(2026,5,5)),"")</f>
        <v/>
      </c>
      <c r="H4" s="130">
        <f>IFERROR(SUMIFS(Data!$F:$F,Data!$B:$B,"พระราม 3",Data!$C:$C,"ITEM0012",Data!$A:$A,DATE(2026,5,6)),"")</f>
        <v/>
      </c>
      <c r="I4" s="130">
        <f>IFERROR(SUMIFS(Data!$F:$F,Data!$B:$B,"พระราม 3",Data!$C:$C,"ITEM0012",Data!$A:$A,DATE(2026,5,7)),"")</f>
        <v/>
      </c>
      <c r="J4" s="130">
        <f>IFERROR(SUMIFS(Data!$F:$F,Data!$B:$B,"พระราม 3",Data!$C:$C,"ITEM0012",Data!$A:$A,DATE(2026,5,8)),"")</f>
        <v/>
      </c>
      <c r="K4" s="130">
        <f>IFERROR(SUMIFS(Data!$F:$F,Data!$B:$B,"พระราม 3",Data!$C:$C,"ITEM0012",Data!$A:$A,DATE(2026,5,9)),"")</f>
        <v/>
      </c>
      <c r="L4" s="130">
        <f>IFERROR(SUMIFS(Data!$F:$F,Data!$B:$B,"พระราม 3",Data!$C:$C,"ITEM0012",Data!$A:$A,DATE(2026,5,10)),"")</f>
        <v/>
      </c>
      <c r="M4" s="130">
        <f>IFERROR(SUMIFS(Data!$F:$F,Data!$B:$B,"พระราม 3",Data!$C:$C,"ITEM0012",Data!$A:$A,DATE(2026,5,11)),"")</f>
        <v/>
      </c>
      <c r="N4" s="130">
        <f>IFERROR(SUMIFS(Data!$F:$F,Data!$B:$B,"พระราม 3",Data!$C:$C,"ITEM0012",Data!$A:$A,DATE(2026,5,12)),"")</f>
        <v/>
      </c>
      <c r="O4" s="130">
        <f>IFERROR(SUMIFS(Data!$F:$F,Data!$B:$B,"พระราม 3",Data!$C:$C,"ITEM0012",Data!$A:$A,DATE(2026,5,13)),"")</f>
        <v/>
      </c>
      <c r="P4" s="130">
        <f>IFERROR(SUMIFS(Data!$F:$F,Data!$B:$B,"พระราม 3",Data!$C:$C,"ITEM0012",Data!$A:$A,DATE(2026,5,14)),"")</f>
        <v/>
      </c>
      <c r="Q4" s="130">
        <f>IFERROR(SUMIFS(Data!$F:$F,Data!$B:$B,"พระราม 3",Data!$C:$C,"ITEM0012",Data!$A:$A,DATE(2026,5,15)),"")</f>
        <v/>
      </c>
      <c r="R4" s="130">
        <f>IFERROR(SUMIFS(Data!$F:$F,Data!$B:$B,"พระราม 3",Data!$C:$C,"ITEM0012",Data!$A:$A,DATE(2026,5,16)),"")</f>
        <v/>
      </c>
      <c r="S4" s="130">
        <f>IFERROR(SUMIFS(Data!$F:$F,Data!$B:$B,"พระราม 3",Data!$C:$C,"ITEM0012",Data!$A:$A,DATE(2026,5,17)),"")</f>
        <v/>
      </c>
      <c r="T4" s="130">
        <f>IFERROR(SUMIFS(Data!$F:$F,Data!$B:$B,"พระราม 3",Data!$C:$C,"ITEM0012",Data!$A:$A,DATE(2026,5,18)),"")</f>
        <v/>
      </c>
      <c r="U4" s="130">
        <f>IFERROR(SUMIFS(Data!$F:$F,Data!$B:$B,"พระราม 3",Data!$C:$C,"ITEM0012",Data!$A:$A,DATE(2026,5,19)),"")</f>
        <v/>
      </c>
      <c r="V4" s="130">
        <f>IFERROR(SUMIFS(Data!$F:$F,Data!$B:$B,"พระราม 3",Data!$C:$C,"ITEM0012",Data!$A:$A,DATE(2026,5,20)),"")</f>
        <v/>
      </c>
      <c r="W4" s="130">
        <f>IFERROR(SUMIFS(Data!$F:$F,Data!$B:$B,"พระราม 3",Data!$C:$C,"ITEM0012",Data!$A:$A,DATE(2026,5,21)),"")</f>
        <v/>
      </c>
      <c r="X4" s="130">
        <f>IFERROR(SUMIFS(Data!$F:$F,Data!$B:$B,"พระราม 3",Data!$C:$C,"ITEM0012",Data!$A:$A,DATE(2026,5,22)),"")</f>
        <v/>
      </c>
      <c r="Y4" s="130">
        <f>IFERROR(SUMIFS(Data!$F:$F,Data!$B:$B,"พระราม 3",Data!$C:$C,"ITEM0012",Data!$A:$A,DATE(2026,5,23)),"")</f>
        <v/>
      </c>
      <c r="Z4" s="130">
        <f>IFERROR(SUMIFS(Data!$F:$F,Data!$B:$B,"พระราม 3",Data!$C:$C,"ITEM0012",Data!$A:$A,DATE(2026,5,24)),"")</f>
        <v/>
      </c>
      <c r="AA4" s="130">
        <f>IFERROR(SUMIFS(Data!$F:$F,Data!$B:$B,"พระราม 3",Data!$C:$C,"ITEM0012",Data!$A:$A,DATE(2026,5,25)),"")</f>
        <v/>
      </c>
      <c r="AB4" s="130">
        <f>IFERROR(SUMIFS(Data!$F:$F,Data!$B:$B,"พระราม 3",Data!$C:$C,"ITEM0012",Data!$A:$A,DATE(2026,5,26)),"")</f>
        <v/>
      </c>
      <c r="AC4" s="130">
        <f>IFERROR(SUMIFS(Data!$F:$F,Data!$B:$B,"พระราม 3",Data!$C:$C,"ITEM0012",Data!$A:$A,DATE(2026,5,27)),"")</f>
        <v/>
      </c>
      <c r="AD4" s="130">
        <f>IFERROR(SUMIFS(Data!$F:$F,Data!$B:$B,"พระราม 3",Data!$C:$C,"ITEM0012",Data!$A:$A,DATE(2026,5,28)),"")</f>
        <v/>
      </c>
      <c r="AE4" s="130">
        <f>IFERROR(SUMIFS(Data!$F:$F,Data!$B:$B,"พระราม 3",Data!$C:$C,"ITEM0012",Data!$A:$A,DATE(2026,5,29)),"")</f>
        <v/>
      </c>
      <c r="AF4" s="130">
        <f>IFERROR(SUMIFS(Data!$F:$F,Data!$B:$B,"พระราม 3",Data!$C:$C,"ITEM0012",Data!$A:$A,DATE(2026,5,30)),"")</f>
        <v/>
      </c>
      <c r="AG4" s="130">
        <f>IFERROR(SUMIFS(Data!$F:$F,Data!$B:$B,"พระราม 3",Data!$C:$C,"ITEM0012",Data!$A:$A,DATE(2026,5,31)),"")</f>
        <v/>
      </c>
      <c r="AH4" s="67">
        <f>IFERROR(SUM(C4:AG4),0)</f>
        <v/>
      </c>
      <c r="AI4" s="67">
        <f>AH4*5</f>
        <v/>
      </c>
      <c r="AJ4" s="131">
        <f>IFERROR(AI4/AI17,0)</f>
        <v/>
      </c>
    </row>
    <row r="5" ht="19" customHeight="1" s="87">
      <c r="A5" s="64" t="inlineStr">
        <is>
          <t>ITEM0544</t>
        </is>
      </c>
      <c r="B5" s="65" t="inlineStr">
        <is>
          <t>พิเศษ</t>
        </is>
      </c>
      <c r="C5" s="130">
        <f>IFERROR(SUMIFS(Data!$F:$F,Data!$B:$B,"พระราม 3",Data!$C:$C,"ITEM0544",Data!$A:$A,DATE(2026,5,1)),"")</f>
        <v/>
      </c>
      <c r="D5" s="130">
        <f>IFERROR(SUMIFS(Data!$F:$F,Data!$B:$B,"พระราม 3",Data!$C:$C,"ITEM0544",Data!$A:$A,DATE(2026,5,2)),"")</f>
        <v/>
      </c>
      <c r="E5" s="130">
        <f>IFERROR(SUMIFS(Data!$F:$F,Data!$B:$B,"พระราม 3",Data!$C:$C,"ITEM0544",Data!$A:$A,DATE(2026,5,3)),"")</f>
        <v/>
      </c>
      <c r="F5" s="130">
        <f>IFERROR(SUMIFS(Data!$F:$F,Data!$B:$B,"พระราม 3",Data!$C:$C,"ITEM0544",Data!$A:$A,DATE(2026,5,4)),"")</f>
        <v/>
      </c>
      <c r="G5" s="130">
        <f>IFERROR(SUMIFS(Data!$F:$F,Data!$B:$B,"พระราม 3",Data!$C:$C,"ITEM0544",Data!$A:$A,DATE(2026,5,5)),"")</f>
        <v/>
      </c>
      <c r="H5" s="130">
        <f>IFERROR(SUMIFS(Data!$F:$F,Data!$B:$B,"พระราม 3",Data!$C:$C,"ITEM0544",Data!$A:$A,DATE(2026,5,6)),"")</f>
        <v/>
      </c>
      <c r="I5" s="130">
        <f>IFERROR(SUMIFS(Data!$F:$F,Data!$B:$B,"พระราม 3",Data!$C:$C,"ITEM0544",Data!$A:$A,DATE(2026,5,7)),"")</f>
        <v/>
      </c>
      <c r="J5" s="130">
        <f>IFERROR(SUMIFS(Data!$F:$F,Data!$B:$B,"พระราม 3",Data!$C:$C,"ITEM0544",Data!$A:$A,DATE(2026,5,8)),"")</f>
        <v/>
      </c>
      <c r="K5" s="130">
        <f>IFERROR(SUMIFS(Data!$F:$F,Data!$B:$B,"พระราม 3",Data!$C:$C,"ITEM0544",Data!$A:$A,DATE(2026,5,9)),"")</f>
        <v/>
      </c>
      <c r="L5" s="130">
        <f>IFERROR(SUMIFS(Data!$F:$F,Data!$B:$B,"พระราม 3",Data!$C:$C,"ITEM0544",Data!$A:$A,DATE(2026,5,10)),"")</f>
        <v/>
      </c>
      <c r="M5" s="130">
        <f>IFERROR(SUMIFS(Data!$F:$F,Data!$B:$B,"พระราม 3",Data!$C:$C,"ITEM0544",Data!$A:$A,DATE(2026,5,11)),"")</f>
        <v/>
      </c>
      <c r="N5" s="130">
        <f>IFERROR(SUMIFS(Data!$F:$F,Data!$B:$B,"พระราม 3",Data!$C:$C,"ITEM0544",Data!$A:$A,DATE(2026,5,12)),"")</f>
        <v/>
      </c>
      <c r="O5" s="130">
        <f>IFERROR(SUMIFS(Data!$F:$F,Data!$B:$B,"พระราม 3",Data!$C:$C,"ITEM0544",Data!$A:$A,DATE(2026,5,13)),"")</f>
        <v/>
      </c>
      <c r="P5" s="130">
        <f>IFERROR(SUMIFS(Data!$F:$F,Data!$B:$B,"พระราม 3",Data!$C:$C,"ITEM0544",Data!$A:$A,DATE(2026,5,14)),"")</f>
        <v/>
      </c>
      <c r="Q5" s="130">
        <f>IFERROR(SUMIFS(Data!$F:$F,Data!$B:$B,"พระราม 3",Data!$C:$C,"ITEM0544",Data!$A:$A,DATE(2026,5,15)),"")</f>
        <v/>
      </c>
      <c r="R5" s="130">
        <f>IFERROR(SUMIFS(Data!$F:$F,Data!$B:$B,"พระราม 3",Data!$C:$C,"ITEM0544",Data!$A:$A,DATE(2026,5,16)),"")</f>
        <v/>
      </c>
      <c r="S5" s="130">
        <f>IFERROR(SUMIFS(Data!$F:$F,Data!$B:$B,"พระราม 3",Data!$C:$C,"ITEM0544",Data!$A:$A,DATE(2026,5,17)),"")</f>
        <v/>
      </c>
      <c r="T5" s="130">
        <f>IFERROR(SUMIFS(Data!$F:$F,Data!$B:$B,"พระราม 3",Data!$C:$C,"ITEM0544",Data!$A:$A,DATE(2026,5,18)),"")</f>
        <v/>
      </c>
      <c r="U5" s="130">
        <f>IFERROR(SUMIFS(Data!$F:$F,Data!$B:$B,"พระราม 3",Data!$C:$C,"ITEM0544",Data!$A:$A,DATE(2026,5,19)),"")</f>
        <v/>
      </c>
      <c r="V5" s="130">
        <f>IFERROR(SUMIFS(Data!$F:$F,Data!$B:$B,"พระราม 3",Data!$C:$C,"ITEM0544",Data!$A:$A,DATE(2026,5,20)),"")</f>
        <v/>
      </c>
      <c r="W5" s="130">
        <f>IFERROR(SUMIFS(Data!$F:$F,Data!$B:$B,"พระราม 3",Data!$C:$C,"ITEM0544",Data!$A:$A,DATE(2026,5,21)),"")</f>
        <v/>
      </c>
      <c r="X5" s="130">
        <f>IFERROR(SUMIFS(Data!$F:$F,Data!$B:$B,"พระราม 3",Data!$C:$C,"ITEM0544",Data!$A:$A,DATE(2026,5,22)),"")</f>
        <v/>
      </c>
      <c r="Y5" s="130">
        <f>IFERROR(SUMIFS(Data!$F:$F,Data!$B:$B,"พระราม 3",Data!$C:$C,"ITEM0544",Data!$A:$A,DATE(2026,5,23)),"")</f>
        <v/>
      </c>
      <c r="Z5" s="130">
        <f>IFERROR(SUMIFS(Data!$F:$F,Data!$B:$B,"พระราม 3",Data!$C:$C,"ITEM0544",Data!$A:$A,DATE(2026,5,24)),"")</f>
        <v/>
      </c>
      <c r="AA5" s="130">
        <f>IFERROR(SUMIFS(Data!$F:$F,Data!$B:$B,"พระราม 3",Data!$C:$C,"ITEM0544",Data!$A:$A,DATE(2026,5,25)),"")</f>
        <v/>
      </c>
      <c r="AB5" s="130">
        <f>IFERROR(SUMIFS(Data!$F:$F,Data!$B:$B,"พระราม 3",Data!$C:$C,"ITEM0544",Data!$A:$A,DATE(2026,5,26)),"")</f>
        <v/>
      </c>
      <c r="AC5" s="130">
        <f>IFERROR(SUMIFS(Data!$F:$F,Data!$B:$B,"พระราม 3",Data!$C:$C,"ITEM0544",Data!$A:$A,DATE(2026,5,27)),"")</f>
        <v/>
      </c>
      <c r="AD5" s="130">
        <f>IFERROR(SUMIFS(Data!$F:$F,Data!$B:$B,"พระราม 3",Data!$C:$C,"ITEM0544",Data!$A:$A,DATE(2026,5,28)),"")</f>
        <v/>
      </c>
      <c r="AE5" s="130">
        <f>IFERROR(SUMIFS(Data!$F:$F,Data!$B:$B,"พระราม 3",Data!$C:$C,"ITEM0544",Data!$A:$A,DATE(2026,5,29)),"")</f>
        <v/>
      </c>
      <c r="AF5" s="130">
        <f>IFERROR(SUMIFS(Data!$F:$F,Data!$B:$B,"พระราม 3",Data!$C:$C,"ITEM0544",Data!$A:$A,DATE(2026,5,30)),"")</f>
        <v/>
      </c>
      <c r="AG5" s="130">
        <f>IFERROR(SUMIFS(Data!$F:$F,Data!$B:$B,"พระราม 3",Data!$C:$C,"ITEM0544",Data!$A:$A,DATE(2026,5,31)),"")</f>
        <v/>
      </c>
      <c r="AH5" s="67">
        <f>IFERROR(SUM(C5:AG5),0)</f>
        <v/>
      </c>
      <c r="AI5" s="67">
        <f>AH5*10</f>
        <v/>
      </c>
      <c r="AJ5" s="131">
        <f>IFERROR(AI5/AI17,0)</f>
        <v/>
      </c>
    </row>
    <row r="6" ht="19" customHeight="1" s="87">
      <c r="A6" s="69" t="inlineStr">
        <is>
          <t>ITEM0657</t>
        </is>
      </c>
      <c r="B6" s="70" t="inlineStr">
        <is>
          <t>ข้าวมันไก่ต้ม</t>
        </is>
      </c>
      <c r="C6" s="132">
        <f>IFERROR(SUMIFS(Data!$F:$F,Data!$B:$B,"พระราม 3",Data!$C:$C,"ITEM0657",Data!$A:$A,DATE(2026,5,1)),"")</f>
        <v/>
      </c>
      <c r="D6" s="132">
        <f>IFERROR(SUMIFS(Data!$F:$F,Data!$B:$B,"พระราม 3",Data!$C:$C,"ITEM0657",Data!$A:$A,DATE(2026,5,2)),"")</f>
        <v/>
      </c>
      <c r="E6" s="132">
        <f>IFERROR(SUMIFS(Data!$F:$F,Data!$B:$B,"พระราม 3",Data!$C:$C,"ITEM0657",Data!$A:$A,DATE(2026,5,3)),"")</f>
        <v/>
      </c>
      <c r="F6" s="132">
        <f>IFERROR(SUMIFS(Data!$F:$F,Data!$B:$B,"พระราม 3",Data!$C:$C,"ITEM0657",Data!$A:$A,DATE(2026,5,4)),"")</f>
        <v/>
      </c>
      <c r="G6" s="132">
        <f>IFERROR(SUMIFS(Data!$F:$F,Data!$B:$B,"พระราม 3",Data!$C:$C,"ITEM0657",Data!$A:$A,DATE(2026,5,5)),"")</f>
        <v/>
      </c>
      <c r="H6" s="132">
        <f>IFERROR(SUMIFS(Data!$F:$F,Data!$B:$B,"พระราม 3",Data!$C:$C,"ITEM0657",Data!$A:$A,DATE(2026,5,6)),"")</f>
        <v/>
      </c>
      <c r="I6" s="132">
        <f>IFERROR(SUMIFS(Data!$F:$F,Data!$B:$B,"พระราม 3",Data!$C:$C,"ITEM0657",Data!$A:$A,DATE(2026,5,7)),"")</f>
        <v/>
      </c>
      <c r="J6" s="132">
        <f>IFERROR(SUMIFS(Data!$F:$F,Data!$B:$B,"พระราม 3",Data!$C:$C,"ITEM0657",Data!$A:$A,DATE(2026,5,8)),"")</f>
        <v/>
      </c>
      <c r="K6" s="132">
        <f>IFERROR(SUMIFS(Data!$F:$F,Data!$B:$B,"พระราม 3",Data!$C:$C,"ITEM0657",Data!$A:$A,DATE(2026,5,9)),"")</f>
        <v/>
      </c>
      <c r="L6" s="132">
        <f>IFERROR(SUMIFS(Data!$F:$F,Data!$B:$B,"พระราม 3",Data!$C:$C,"ITEM0657",Data!$A:$A,DATE(2026,5,10)),"")</f>
        <v/>
      </c>
      <c r="M6" s="132">
        <f>IFERROR(SUMIFS(Data!$F:$F,Data!$B:$B,"พระราม 3",Data!$C:$C,"ITEM0657",Data!$A:$A,DATE(2026,5,11)),"")</f>
        <v/>
      </c>
      <c r="N6" s="132">
        <f>IFERROR(SUMIFS(Data!$F:$F,Data!$B:$B,"พระราม 3",Data!$C:$C,"ITEM0657",Data!$A:$A,DATE(2026,5,12)),"")</f>
        <v/>
      </c>
      <c r="O6" s="132">
        <f>IFERROR(SUMIFS(Data!$F:$F,Data!$B:$B,"พระราม 3",Data!$C:$C,"ITEM0657",Data!$A:$A,DATE(2026,5,13)),"")</f>
        <v/>
      </c>
      <c r="P6" s="132">
        <f>IFERROR(SUMIFS(Data!$F:$F,Data!$B:$B,"พระราม 3",Data!$C:$C,"ITEM0657",Data!$A:$A,DATE(2026,5,14)),"")</f>
        <v/>
      </c>
      <c r="Q6" s="132">
        <f>IFERROR(SUMIFS(Data!$F:$F,Data!$B:$B,"พระราม 3",Data!$C:$C,"ITEM0657",Data!$A:$A,DATE(2026,5,15)),"")</f>
        <v/>
      </c>
      <c r="R6" s="132">
        <f>IFERROR(SUMIFS(Data!$F:$F,Data!$B:$B,"พระราม 3",Data!$C:$C,"ITEM0657",Data!$A:$A,DATE(2026,5,16)),"")</f>
        <v/>
      </c>
      <c r="S6" s="132">
        <f>IFERROR(SUMIFS(Data!$F:$F,Data!$B:$B,"พระราม 3",Data!$C:$C,"ITEM0657",Data!$A:$A,DATE(2026,5,17)),"")</f>
        <v/>
      </c>
      <c r="T6" s="132">
        <f>IFERROR(SUMIFS(Data!$F:$F,Data!$B:$B,"พระราม 3",Data!$C:$C,"ITEM0657",Data!$A:$A,DATE(2026,5,18)),"")</f>
        <v/>
      </c>
      <c r="U6" s="132">
        <f>IFERROR(SUMIFS(Data!$F:$F,Data!$B:$B,"พระราม 3",Data!$C:$C,"ITEM0657",Data!$A:$A,DATE(2026,5,19)),"")</f>
        <v/>
      </c>
      <c r="V6" s="132">
        <f>IFERROR(SUMIFS(Data!$F:$F,Data!$B:$B,"พระราม 3",Data!$C:$C,"ITEM0657",Data!$A:$A,DATE(2026,5,20)),"")</f>
        <v/>
      </c>
      <c r="W6" s="132">
        <f>IFERROR(SUMIFS(Data!$F:$F,Data!$B:$B,"พระราม 3",Data!$C:$C,"ITEM0657",Data!$A:$A,DATE(2026,5,21)),"")</f>
        <v/>
      </c>
      <c r="X6" s="132">
        <f>IFERROR(SUMIFS(Data!$F:$F,Data!$B:$B,"พระราม 3",Data!$C:$C,"ITEM0657",Data!$A:$A,DATE(2026,5,22)),"")</f>
        <v/>
      </c>
      <c r="Y6" s="132">
        <f>IFERROR(SUMIFS(Data!$F:$F,Data!$B:$B,"พระราม 3",Data!$C:$C,"ITEM0657",Data!$A:$A,DATE(2026,5,23)),"")</f>
        <v/>
      </c>
      <c r="Z6" s="132">
        <f>IFERROR(SUMIFS(Data!$F:$F,Data!$B:$B,"พระราม 3",Data!$C:$C,"ITEM0657",Data!$A:$A,DATE(2026,5,24)),"")</f>
        <v/>
      </c>
      <c r="AA6" s="132">
        <f>IFERROR(SUMIFS(Data!$F:$F,Data!$B:$B,"พระราม 3",Data!$C:$C,"ITEM0657",Data!$A:$A,DATE(2026,5,25)),"")</f>
        <v/>
      </c>
      <c r="AB6" s="132">
        <f>IFERROR(SUMIFS(Data!$F:$F,Data!$B:$B,"พระราม 3",Data!$C:$C,"ITEM0657",Data!$A:$A,DATE(2026,5,26)),"")</f>
        <v/>
      </c>
      <c r="AC6" s="132">
        <f>IFERROR(SUMIFS(Data!$F:$F,Data!$B:$B,"พระราม 3",Data!$C:$C,"ITEM0657",Data!$A:$A,DATE(2026,5,27)),"")</f>
        <v/>
      </c>
      <c r="AD6" s="132">
        <f>IFERROR(SUMIFS(Data!$F:$F,Data!$B:$B,"พระราม 3",Data!$C:$C,"ITEM0657",Data!$A:$A,DATE(2026,5,28)),"")</f>
        <v/>
      </c>
      <c r="AE6" s="132">
        <f>IFERROR(SUMIFS(Data!$F:$F,Data!$B:$B,"พระราม 3",Data!$C:$C,"ITEM0657",Data!$A:$A,DATE(2026,5,29)),"")</f>
        <v/>
      </c>
      <c r="AF6" s="132">
        <f>IFERROR(SUMIFS(Data!$F:$F,Data!$B:$B,"พระราม 3",Data!$C:$C,"ITEM0657",Data!$A:$A,DATE(2026,5,30)),"")</f>
        <v/>
      </c>
      <c r="AG6" s="132">
        <f>IFERROR(SUMIFS(Data!$F:$F,Data!$B:$B,"พระราม 3",Data!$C:$C,"ITEM0657",Data!$A:$A,DATE(2026,5,31)),"")</f>
        <v/>
      </c>
      <c r="AH6" s="72">
        <f>IFERROR(SUM(C6:AG6),0)</f>
        <v/>
      </c>
      <c r="AI6" s="72">
        <f>AH6*35</f>
        <v/>
      </c>
      <c r="AJ6" s="133">
        <f>IFERROR(AI6/AI17,0)</f>
        <v/>
      </c>
    </row>
    <row r="7" ht="19" customHeight="1" s="87">
      <c r="A7" s="74" t="inlineStr">
        <is>
          <t>ITEM0658</t>
        </is>
      </c>
      <c r="B7" s="75" t="inlineStr">
        <is>
          <t>ข้าวมันไก่ทอด</t>
        </is>
      </c>
      <c r="C7" s="134">
        <f>IFERROR(SUMIFS(Data!$F:$F,Data!$B:$B,"พระราม 3",Data!$C:$C,"ITEM0658",Data!$A:$A,DATE(2026,5,1)),"")</f>
        <v/>
      </c>
      <c r="D7" s="134">
        <f>IFERROR(SUMIFS(Data!$F:$F,Data!$B:$B,"พระราม 3",Data!$C:$C,"ITEM0658",Data!$A:$A,DATE(2026,5,2)),"")</f>
        <v/>
      </c>
      <c r="E7" s="134">
        <f>IFERROR(SUMIFS(Data!$F:$F,Data!$B:$B,"พระราม 3",Data!$C:$C,"ITEM0658",Data!$A:$A,DATE(2026,5,3)),"")</f>
        <v/>
      </c>
      <c r="F7" s="134">
        <f>IFERROR(SUMIFS(Data!$F:$F,Data!$B:$B,"พระราม 3",Data!$C:$C,"ITEM0658",Data!$A:$A,DATE(2026,5,4)),"")</f>
        <v/>
      </c>
      <c r="G7" s="134">
        <f>IFERROR(SUMIFS(Data!$F:$F,Data!$B:$B,"พระราม 3",Data!$C:$C,"ITEM0658",Data!$A:$A,DATE(2026,5,5)),"")</f>
        <v/>
      </c>
      <c r="H7" s="134">
        <f>IFERROR(SUMIFS(Data!$F:$F,Data!$B:$B,"พระราม 3",Data!$C:$C,"ITEM0658",Data!$A:$A,DATE(2026,5,6)),"")</f>
        <v/>
      </c>
      <c r="I7" s="134">
        <f>IFERROR(SUMIFS(Data!$F:$F,Data!$B:$B,"พระราม 3",Data!$C:$C,"ITEM0658",Data!$A:$A,DATE(2026,5,7)),"")</f>
        <v/>
      </c>
      <c r="J7" s="134">
        <f>IFERROR(SUMIFS(Data!$F:$F,Data!$B:$B,"พระราม 3",Data!$C:$C,"ITEM0658",Data!$A:$A,DATE(2026,5,8)),"")</f>
        <v/>
      </c>
      <c r="K7" s="134">
        <f>IFERROR(SUMIFS(Data!$F:$F,Data!$B:$B,"พระราม 3",Data!$C:$C,"ITEM0658",Data!$A:$A,DATE(2026,5,9)),"")</f>
        <v/>
      </c>
      <c r="L7" s="134">
        <f>IFERROR(SUMIFS(Data!$F:$F,Data!$B:$B,"พระราม 3",Data!$C:$C,"ITEM0658",Data!$A:$A,DATE(2026,5,10)),"")</f>
        <v/>
      </c>
      <c r="M7" s="134">
        <f>IFERROR(SUMIFS(Data!$F:$F,Data!$B:$B,"พระราม 3",Data!$C:$C,"ITEM0658",Data!$A:$A,DATE(2026,5,11)),"")</f>
        <v/>
      </c>
      <c r="N7" s="134">
        <f>IFERROR(SUMIFS(Data!$F:$F,Data!$B:$B,"พระราม 3",Data!$C:$C,"ITEM0658",Data!$A:$A,DATE(2026,5,12)),"")</f>
        <v/>
      </c>
      <c r="O7" s="134">
        <f>IFERROR(SUMIFS(Data!$F:$F,Data!$B:$B,"พระราม 3",Data!$C:$C,"ITEM0658",Data!$A:$A,DATE(2026,5,13)),"")</f>
        <v/>
      </c>
      <c r="P7" s="134">
        <f>IFERROR(SUMIFS(Data!$F:$F,Data!$B:$B,"พระราม 3",Data!$C:$C,"ITEM0658",Data!$A:$A,DATE(2026,5,14)),"")</f>
        <v/>
      </c>
      <c r="Q7" s="134">
        <f>IFERROR(SUMIFS(Data!$F:$F,Data!$B:$B,"พระราม 3",Data!$C:$C,"ITEM0658",Data!$A:$A,DATE(2026,5,15)),"")</f>
        <v/>
      </c>
      <c r="R7" s="134">
        <f>IFERROR(SUMIFS(Data!$F:$F,Data!$B:$B,"พระราม 3",Data!$C:$C,"ITEM0658",Data!$A:$A,DATE(2026,5,16)),"")</f>
        <v/>
      </c>
      <c r="S7" s="134">
        <f>IFERROR(SUMIFS(Data!$F:$F,Data!$B:$B,"พระราม 3",Data!$C:$C,"ITEM0658",Data!$A:$A,DATE(2026,5,17)),"")</f>
        <v/>
      </c>
      <c r="T7" s="134">
        <f>IFERROR(SUMIFS(Data!$F:$F,Data!$B:$B,"พระราม 3",Data!$C:$C,"ITEM0658",Data!$A:$A,DATE(2026,5,18)),"")</f>
        <v/>
      </c>
      <c r="U7" s="134">
        <f>IFERROR(SUMIFS(Data!$F:$F,Data!$B:$B,"พระราม 3",Data!$C:$C,"ITEM0658",Data!$A:$A,DATE(2026,5,19)),"")</f>
        <v/>
      </c>
      <c r="V7" s="134">
        <f>IFERROR(SUMIFS(Data!$F:$F,Data!$B:$B,"พระราม 3",Data!$C:$C,"ITEM0658",Data!$A:$A,DATE(2026,5,20)),"")</f>
        <v/>
      </c>
      <c r="W7" s="134">
        <f>IFERROR(SUMIFS(Data!$F:$F,Data!$B:$B,"พระราม 3",Data!$C:$C,"ITEM0658",Data!$A:$A,DATE(2026,5,21)),"")</f>
        <v/>
      </c>
      <c r="X7" s="134">
        <f>IFERROR(SUMIFS(Data!$F:$F,Data!$B:$B,"พระราม 3",Data!$C:$C,"ITEM0658",Data!$A:$A,DATE(2026,5,22)),"")</f>
        <v/>
      </c>
      <c r="Y7" s="134">
        <f>IFERROR(SUMIFS(Data!$F:$F,Data!$B:$B,"พระราม 3",Data!$C:$C,"ITEM0658",Data!$A:$A,DATE(2026,5,23)),"")</f>
        <v/>
      </c>
      <c r="Z7" s="134">
        <f>IFERROR(SUMIFS(Data!$F:$F,Data!$B:$B,"พระราม 3",Data!$C:$C,"ITEM0658",Data!$A:$A,DATE(2026,5,24)),"")</f>
        <v/>
      </c>
      <c r="AA7" s="134">
        <f>IFERROR(SUMIFS(Data!$F:$F,Data!$B:$B,"พระราม 3",Data!$C:$C,"ITEM0658",Data!$A:$A,DATE(2026,5,25)),"")</f>
        <v/>
      </c>
      <c r="AB7" s="134">
        <f>IFERROR(SUMIFS(Data!$F:$F,Data!$B:$B,"พระราม 3",Data!$C:$C,"ITEM0658",Data!$A:$A,DATE(2026,5,26)),"")</f>
        <v/>
      </c>
      <c r="AC7" s="134">
        <f>IFERROR(SUMIFS(Data!$F:$F,Data!$B:$B,"พระราม 3",Data!$C:$C,"ITEM0658",Data!$A:$A,DATE(2026,5,27)),"")</f>
        <v/>
      </c>
      <c r="AD7" s="134">
        <f>IFERROR(SUMIFS(Data!$F:$F,Data!$B:$B,"พระราม 3",Data!$C:$C,"ITEM0658",Data!$A:$A,DATE(2026,5,28)),"")</f>
        <v/>
      </c>
      <c r="AE7" s="134">
        <f>IFERROR(SUMIFS(Data!$F:$F,Data!$B:$B,"พระราม 3",Data!$C:$C,"ITEM0658",Data!$A:$A,DATE(2026,5,29)),"")</f>
        <v/>
      </c>
      <c r="AF7" s="134">
        <f>IFERROR(SUMIFS(Data!$F:$F,Data!$B:$B,"พระราม 3",Data!$C:$C,"ITEM0658",Data!$A:$A,DATE(2026,5,30)),"")</f>
        <v/>
      </c>
      <c r="AG7" s="134">
        <f>IFERROR(SUMIFS(Data!$F:$F,Data!$B:$B,"พระราม 3",Data!$C:$C,"ITEM0658",Data!$A:$A,DATE(2026,5,31)),"")</f>
        <v/>
      </c>
      <c r="AH7" s="77">
        <f>IFERROR(SUM(C7:AG7),0)</f>
        <v/>
      </c>
      <c r="AI7" s="77">
        <f>AH7*35</f>
        <v/>
      </c>
      <c r="AJ7" s="135">
        <f>IFERROR(AI7/AI17,0)</f>
        <v/>
      </c>
    </row>
    <row r="8" ht="19" customHeight="1" s="87">
      <c r="A8" s="69" t="inlineStr">
        <is>
          <t>ITEM0659</t>
        </is>
      </c>
      <c r="B8" s="70" t="inlineStr">
        <is>
          <t>ข้าวยำไก่แซ่บ</t>
        </is>
      </c>
      <c r="C8" s="132">
        <f>IFERROR(SUMIFS(Data!$F:$F,Data!$B:$B,"พระราม 3",Data!$C:$C,"ITEM0659",Data!$A:$A,DATE(2026,5,1)),"")</f>
        <v/>
      </c>
      <c r="D8" s="132">
        <f>IFERROR(SUMIFS(Data!$F:$F,Data!$B:$B,"พระราม 3",Data!$C:$C,"ITEM0659",Data!$A:$A,DATE(2026,5,2)),"")</f>
        <v/>
      </c>
      <c r="E8" s="132">
        <f>IFERROR(SUMIFS(Data!$F:$F,Data!$B:$B,"พระราม 3",Data!$C:$C,"ITEM0659",Data!$A:$A,DATE(2026,5,3)),"")</f>
        <v/>
      </c>
      <c r="F8" s="132">
        <f>IFERROR(SUMIFS(Data!$F:$F,Data!$B:$B,"พระราม 3",Data!$C:$C,"ITEM0659",Data!$A:$A,DATE(2026,5,4)),"")</f>
        <v/>
      </c>
      <c r="G8" s="132">
        <f>IFERROR(SUMIFS(Data!$F:$F,Data!$B:$B,"พระราม 3",Data!$C:$C,"ITEM0659",Data!$A:$A,DATE(2026,5,5)),"")</f>
        <v/>
      </c>
      <c r="H8" s="132">
        <f>IFERROR(SUMIFS(Data!$F:$F,Data!$B:$B,"พระราม 3",Data!$C:$C,"ITEM0659",Data!$A:$A,DATE(2026,5,6)),"")</f>
        <v/>
      </c>
      <c r="I8" s="132">
        <f>IFERROR(SUMIFS(Data!$F:$F,Data!$B:$B,"พระราม 3",Data!$C:$C,"ITEM0659",Data!$A:$A,DATE(2026,5,7)),"")</f>
        <v/>
      </c>
      <c r="J8" s="132">
        <f>IFERROR(SUMIFS(Data!$F:$F,Data!$B:$B,"พระราม 3",Data!$C:$C,"ITEM0659",Data!$A:$A,DATE(2026,5,8)),"")</f>
        <v/>
      </c>
      <c r="K8" s="132">
        <f>IFERROR(SUMIFS(Data!$F:$F,Data!$B:$B,"พระราม 3",Data!$C:$C,"ITEM0659",Data!$A:$A,DATE(2026,5,9)),"")</f>
        <v/>
      </c>
      <c r="L8" s="132">
        <f>IFERROR(SUMIFS(Data!$F:$F,Data!$B:$B,"พระราม 3",Data!$C:$C,"ITEM0659",Data!$A:$A,DATE(2026,5,10)),"")</f>
        <v/>
      </c>
      <c r="M8" s="132">
        <f>IFERROR(SUMIFS(Data!$F:$F,Data!$B:$B,"พระราม 3",Data!$C:$C,"ITEM0659",Data!$A:$A,DATE(2026,5,11)),"")</f>
        <v/>
      </c>
      <c r="N8" s="132">
        <f>IFERROR(SUMIFS(Data!$F:$F,Data!$B:$B,"พระราม 3",Data!$C:$C,"ITEM0659",Data!$A:$A,DATE(2026,5,12)),"")</f>
        <v/>
      </c>
      <c r="O8" s="132">
        <f>IFERROR(SUMIFS(Data!$F:$F,Data!$B:$B,"พระราม 3",Data!$C:$C,"ITEM0659",Data!$A:$A,DATE(2026,5,13)),"")</f>
        <v/>
      </c>
      <c r="P8" s="132">
        <f>IFERROR(SUMIFS(Data!$F:$F,Data!$B:$B,"พระราม 3",Data!$C:$C,"ITEM0659",Data!$A:$A,DATE(2026,5,14)),"")</f>
        <v/>
      </c>
      <c r="Q8" s="132">
        <f>IFERROR(SUMIFS(Data!$F:$F,Data!$B:$B,"พระราม 3",Data!$C:$C,"ITEM0659",Data!$A:$A,DATE(2026,5,15)),"")</f>
        <v/>
      </c>
      <c r="R8" s="132">
        <f>IFERROR(SUMIFS(Data!$F:$F,Data!$B:$B,"พระราม 3",Data!$C:$C,"ITEM0659",Data!$A:$A,DATE(2026,5,16)),"")</f>
        <v/>
      </c>
      <c r="S8" s="132">
        <f>IFERROR(SUMIFS(Data!$F:$F,Data!$B:$B,"พระราม 3",Data!$C:$C,"ITEM0659",Data!$A:$A,DATE(2026,5,17)),"")</f>
        <v/>
      </c>
      <c r="T8" s="132">
        <f>IFERROR(SUMIFS(Data!$F:$F,Data!$B:$B,"พระราม 3",Data!$C:$C,"ITEM0659",Data!$A:$A,DATE(2026,5,18)),"")</f>
        <v/>
      </c>
      <c r="U8" s="132">
        <f>IFERROR(SUMIFS(Data!$F:$F,Data!$B:$B,"พระราม 3",Data!$C:$C,"ITEM0659",Data!$A:$A,DATE(2026,5,19)),"")</f>
        <v/>
      </c>
      <c r="V8" s="132">
        <f>IFERROR(SUMIFS(Data!$F:$F,Data!$B:$B,"พระราม 3",Data!$C:$C,"ITEM0659",Data!$A:$A,DATE(2026,5,20)),"")</f>
        <v/>
      </c>
      <c r="W8" s="132">
        <f>IFERROR(SUMIFS(Data!$F:$F,Data!$B:$B,"พระราม 3",Data!$C:$C,"ITEM0659",Data!$A:$A,DATE(2026,5,21)),"")</f>
        <v/>
      </c>
      <c r="X8" s="132">
        <f>IFERROR(SUMIFS(Data!$F:$F,Data!$B:$B,"พระราม 3",Data!$C:$C,"ITEM0659",Data!$A:$A,DATE(2026,5,22)),"")</f>
        <v/>
      </c>
      <c r="Y8" s="132">
        <f>IFERROR(SUMIFS(Data!$F:$F,Data!$B:$B,"พระราม 3",Data!$C:$C,"ITEM0659",Data!$A:$A,DATE(2026,5,23)),"")</f>
        <v/>
      </c>
      <c r="Z8" s="132">
        <f>IFERROR(SUMIFS(Data!$F:$F,Data!$B:$B,"พระราม 3",Data!$C:$C,"ITEM0659",Data!$A:$A,DATE(2026,5,24)),"")</f>
        <v/>
      </c>
      <c r="AA8" s="132">
        <f>IFERROR(SUMIFS(Data!$F:$F,Data!$B:$B,"พระราม 3",Data!$C:$C,"ITEM0659",Data!$A:$A,DATE(2026,5,25)),"")</f>
        <v/>
      </c>
      <c r="AB8" s="132">
        <f>IFERROR(SUMIFS(Data!$F:$F,Data!$B:$B,"พระราม 3",Data!$C:$C,"ITEM0659",Data!$A:$A,DATE(2026,5,26)),"")</f>
        <v/>
      </c>
      <c r="AC8" s="132">
        <f>IFERROR(SUMIFS(Data!$F:$F,Data!$B:$B,"พระราม 3",Data!$C:$C,"ITEM0659",Data!$A:$A,DATE(2026,5,27)),"")</f>
        <v/>
      </c>
      <c r="AD8" s="132">
        <f>IFERROR(SUMIFS(Data!$F:$F,Data!$B:$B,"พระราม 3",Data!$C:$C,"ITEM0659",Data!$A:$A,DATE(2026,5,28)),"")</f>
        <v/>
      </c>
      <c r="AE8" s="132">
        <f>IFERROR(SUMIFS(Data!$F:$F,Data!$B:$B,"พระราม 3",Data!$C:$C,"ITEM0659",Data!$A:$A,DATE(2026,5,29)),"")</f>
        <v/>
      </c>
      <c r="AF8" s="132">
        <f>IFERROR(SUMIFS(Data!$F:$F,Data!$B:$B,"พระราม 3",Data!$C:$C,"ITEM0659",Data!$A:$A,DATE(2026,5,30)),"")</f>
        <v/>
      </c>
      <c r="AG8" s="132">
        <f>IFERROR(SUMIFS(Data!$F:$F,Data!$B:$B,"พระราม 3",Data!$C:$C,"ITEM0659",Data!$A:$A,DATE(2026,5,31)),"")</f>
        <v/>
      </c>
      <c r="AH8" s="72">
        <f>IFERROR(SUM(C8:AG8),0)</f>
        <v/>
      </c>
      <c r="AI8" s="72">
        <f>AH8*38</f>
        <v/>
      </c>
      <c r="AJ8" s="133">
        <f>IFERROR(AI8/AI17,0)</f>
        <v/>
      </c>
    </row>
    <row r="9" ht="19" customHeight="1" s="87">
      <c r="A9" s="74" t="inlineStr">
        <is>
          <t>ITEM0660</t>
        </is>
      </c>
      <c r="B9" s="75" t="inlineStr">
        <is>
          <t>ข้าวมันไก่ผสม</t>
        </is>
      </c>
      <c r="C9" s="134">
        <f>IFERROR(SUMIFS(Data!$F:$F,Data!$B:$B,"พระราม 3",Data!$C:$C,"ITEM0660",Data!$A:$A,DATE(2026,5,1)),"")</f>
        <v/>
      </c>
      <c r="D9" s="134">
        <f>IFERROR(SUMIFS(Data!$F:$F,Data!$B:$B,"พระราม 3",Data!$C:$C,"ITEM0660",Data!$A:$A,DATE(2026,5,2)),"")</f>
        <v/>
      </c>
      <c r="E9" s="134">
        <f>IFERROR(SUMIFS(Data!$F:$F,Data!$B:$B,"พระราม 3",Data!$C:$C,"ITEM0660",Data!$A:$A,DATE(2026,5,3)),"")</f>
        <v/>
      </c>
      <c r="F9" s="134">
        <f>IFERROR(SUMIFS(Data!$F:$F,Data!$B:$B,"พระราม 3",Data!$C:$C,"ITEM0660",Data!$A:$A,DATE(2026,5,4)),"")</f>
        <v/>
      </c>
      <c r="G9" s="134">
        <f>IFERROR(SUMIFS(Data!$F:$F,Data!$B:$B,"พระราม 3",Data!$C:$C,"ITEM0660",Data!$A:$A,DATE(2026,5,5)),"")</f>
        <v/>
      </c>
      <c r="H9" s="134">
        <f>IFERROR(SUMIFS(Data!$F:$F,Data!$B:$B,"พระราม 3",Data!$C:$C,"ITEM0660",Data!$A:$A,DATE(2026,5,6)),"")</f>
        <v/>
      </c>
      <c r="I9" s="134">
        <f>IFERROR(SUMIFS(Data!$F:$F,Data!$B:$B,"พระราม 3",Data!$C:$C,"ITEM0660",Data!$A:$A,DATE(2026,5,7)),"")</f>
        <v/>
      </c>
      <c r="J9" s="134">
        <f>IFERROR(SUMIFS(Data!$F:$F,Data!$B:$B,"พระราม 3",Data!$C:$C,"ITEM0660",Data!$A:$A,DATE(2026,5,8)),"")</f>
        <v/>
      </c>
      <c r="K9" s="134">
        <f>IFERROR(SUMIFS(Data!$F:$F,Data!$B:$B,"พระราม 3",Data!$C:$C,"ITEM0660",Data!$A:$A,DATE(2026,5,9)),"")</f>
        <v/>
      </c>
      <c r="L9" s="134">
        <f>IFERROR(SUMIFS(Data!$F:$F,Data!$B:$B,"พระราม 3",Data!$C:$C,"ITEM0660",Data!$A:$A,DATE(2026,5,10)),"")</f>
        <v/>
      </c>
      <c r="M9" s="134">
        <f>IFERROR(SUMIFS(Data!$F:$F,Data!$B:$B,"พระราม 3",Data!$C:$C,"ITEM0660",Data!$A:$A,DATE(2026,5,11)),"")</f>
        <v/>
      </c>
      <c r="N9" s="134">
        <f>IFERROR(SUMIFS(Data!$F:$F,Data!$B:$B,"พระราม 3",Data!$C:$C,"ITEM0660",Data!$A:$A,DATE(2026,5,12)),"")</f>
        <v/>
      </c>
      <c r="O9" s="134">
        <f>IFERROR(SUMIFS(Data!$F:$F,Data!$B:$B,"พระราม 3",Data!$C:$C,"ITEM0660",Data!$A:$A,DATE(2026,5,13)),"")</f>
        <v/>
      </c>
      <c r="P9" s="134">
        <f>IFERROR(SUMIFS(Data!$F:$F,Data!$B:$B,"พระราม 3",Data!$C:$C,"ITEM0660",Data!$A:$A,DATE(2026,5,14)),"")</f>
        <v/>
      </c>
      <c r="Q9" s="134">
        <f>IFERROR(SUMIFS(Data!$F:$F,Data!$B:$B,"พระราม 3",Data!$C:$C,"ITEM0660",Data!$A:$A,DATE(2026,5,15)),"")</f>
        <v/>
      </c>
      <c r="R9" s="134">
        <f>IFERROR(SUMIFS(Data!$F:$F,Data!$B:$B,"พระราม 3",Data!$C:$C,"ITEM0660",Data!$A:$A,DATE(2026,5,16)),"")</f>
        <v/>
      </c>
      <c r="S9" s="134">
        <f>IFERROR(SUMIFS(Data!$F:$F,Data!$B:$B,"พระราม 3",Data!$C:$C,"ITEM0660",Data!$A:$A,DATE(2026,5,17)),"")</f>
        <v/>
      </c>
      <c r="T9" s="134">
        <f>IFERROR(SUMIFS(Data!$F:$F,Data!$B:$B,"พระราม 3",Data!$C:$C,"ITEM0660",Data!$A:$A,DATE(2026,5,18)),"")</f>
        <v/>
      </c>
      <c r="U9" s="134">
        <f>IFERROR(SUMIFS(Data!$F:$F,Data!$B:$B,"พระราม 3",Data!$C:$C,"ITEM0660",Data!$A:$A,DATE(2026,5,19)),"")</f>
        <v/>
      </c>
      <c r="V9" s="134">
        <f>IFERROR(SUMIFS(Data!$F:$F,Data!$B:$B,"พระราม 3",Data!$C:$C,"ITEM0660",Data!$A:$A,DATE(2026,5,20)),"")</f>
        <v/>
      </c>
      <c r="W9" s="134">
        <f>IFERROR(SUMIFS(Data!$F:$F,Data!$B:$B,"พระราม 3",Data!$C:$C,"ITEM0660",Data!$A:$A,DATE(2026,5,21)),"")</f>
        <v/>
      </c>
      <c r="X9" s="134">
        <f>IFERROR(SUMIFS(Data!$F:$F,Data!$B:$B,"พระราม 3",Data!$C:$C,"ITEM0660",Data!$A:$A,DATE(2026,5,22)),"")</f>
        <v/>
      </c>
      <c r="Y9" s="134">
        <f>IFERROR(SUMIFS(Data!$F:$F,Data!$B:$B,"พระราม 3",Data!$C:$C,"ITEM0660",Data!$A:$A,DATE(2026,5,23)),"")</f>
        <v/>
      </c>
      <c r="Z9" s="134">
        <f>IFERROR(SUMIFS(Data!$F:$F,Data!$B:$B,"พระราม 3",Data!$C:$C,"ITEM0660",Data!$A:$A,DATE(2026,5,24)),"")</f>
        <v/>
      </c>
      <c r="AA9" s="134">
        <f>IFERROR(SUMIFS(Data!$F:$F,Data!$B:$B,"พระราม 3",Data!$C:$C,"ITEM0660",Data!$A:$A,DATE(2026,5,25)),"")</f>
        <v/>
      </c>
      <c r="AB9" s="134">
        <f>IFERROR(SUMIFS(Data!$F:$F,Data!$B:$B,"พระราม 3",Data!$C:$C,"ITEM0660",Data!$A:$A,DATE(2026,5,26)),"")</f>
        <v/>
      </c>
      <c r="AC9" s="134">
        <f>IFERROR(SUMIFS(Data!$F:$F,Data!$B:$B,"พระราม 3",Data!$C:$C,"ITEM0660",Data!$A:$A,DATE(2026,5,27)),"")</f>
        <v/>
      </c>
      <c r="AD9" s="134">
        <f>IFERROR(SUMIFS(Data!$F:$F,Data!$B:$B,"พระราม 3",Data!$C:$C,"ITEM0660",Data!$A:$A,DATE(2026,5,28)),"")</f>
        <v/>
      </c>
      <c r="AE9" s="134">
        <f>IFERROR(SUMIFS(Data!$F:$F,Data!$B:$B,"พระราม 3",Data!$C:$C,"ITEM0660",Data!$A:$A,DATE(2026,5,29)),"")</f>
        <v/>
      </c>
      <c r="AF9" s="134">
        <f>IFERROR(SUMIFS(Data!$F:$F,Data!$B:$B,"พระราม 3",Data!$C:$C,"ITEM0660",Data!$A:$A,DATE(2026,5,30)),"")</f>
        <v/>
      </c>
      <c r="AG9" s="134">
        <f>IFERROR(SUMIFS(Data!$F:$F,Data!$B:$B,"พระราม 3",Data!$C:$C,"ITEM0660",Data!$A:$A,DATE(2026,5,31)),"")</f>
        <v/>
      </c>
      <c r="AH9" s="77">
        <f>IFERROR(SUM(C9:AG9),0)</f>
        <v/>
      </c>
      <c r="AI9" s="77">
        <f>AH9*40</f>
        <v/>
      </c>
      <c r="AJ9" s="135">
        <f>IFERROR(AI9/AI17,0)</f>
        <v/>
      </c>
    </row>
    <row r="10" ht="19" customHeight="1" s="87">
      <c r="A10" s="69" t="inlineStr">
        <is>
          <t>ITEM0661</t>
        </is>
      </c>
      <c r="B10" s="70" t="inlineStr">
        <is>
          <t>ข้าวมันไก่สิงคโปร์</t>
        </is>
      </c>
      <c r="C10" s="132">
        <f>IFERROR(SUMIFS(Data!$F:$F,Data!$B:$B,"พระราม 3",Data!$C:$C,"ITEM0661",Data!$A:$A,DATE(2026,5,1)),"")</f>
        <v/>
      </c>
      <c r="D10" s="132">
        <f>IFERROR(SUMIFS(Data!$F:$F,Data!$B:$B,"พระราม 3",Data!$C:$C,"ITEM0661",Data!$A:$A,DATE(2026,5,2)),"")</f>
        <v/>
      </c>
      <c r="E10" s="132">
        <f>IFERROR(SUMIFS(Data!$F:$F,Data!$B:$B,"พระราม 3",Data!$C:$C,"ITEM0661",Data!$A:$A,DATE(2026,5,3)),"")</f>
        <v/>
      </c>
      <c r="F10" s="132">
        <f>IFERROR(SUMIFS(Data!$F:$F,Data!$B:$B,"พระราม 3",Data!$C:$C,"ITEM0661",Data!$A:$A,DATE(2026,5,4)),"")</f>
        <v/>
      </c>
      <c r="G10" s="132">
        <f>IFERROR(SUMIFS(Data!$F:$F,Data!$B:$B,"พระราม 3",Data!$C:$C,"ITEM0661",Data!$A:$A,DATE(2026,5,5)),"")</f>
        <v/>
      </c>
      <c r="H10" s="132">
        <f>IFERROR(SUMIFS(Data!$F:$F,Data!$B:$B,"พระราม 3",Data!$C:$C,"ITEM0661",Data!$A:$A,DATE(2026,5,6)),"")</f>
        <v/>
      </c>
      <c r="I10" s="132">
        <f>IFERROR(SUMIFS(Data!$F:$F,Data!$B:$B,"พระราม 3",Data!$C:$C,"ITEM0661",Data!$A:$A,DATE(2026,5,7)),"")</f>
        <v/>
      </c>
      <c r="J10" s="132">
        <f>IFERROR(SUMIFS(Data!$F:$F,Data!$B:$B,"พระราม 3",Data!$C:$C,"ITEM0661",Data!$A:$A,DATE(2026,5,8)),"")</f>
        <v/>
      </c>
      <c r="K10" s="132">
        <f>IFERROR(SUMIFS(Data!$F:$F,Data!$B:$B,"พระราม 3",Data!$C:$C,"ITEM0661",Data!$A:$A,DATE(2026,5,9)),"")</f>
        <v/>
      </c>
      <c r="L10" s="132">
        <f>IFERROR(SUMIFS(Data!$F:$F,Data!$B:$B,"พระราม 3",Data!$C:$C,"ITEM0661",Data!$A:$A,DATE(2026,5,10)),"")</f>
        <v/>
      </c>
      <c r="M10" s="132">
        <f>IFERROR(SUMIFS(Data!$F:$F,Data!$B:$B,"พระราม 3",Data!$C:$C,"ITEM0661",Data!$A:$A,DATE(2026,5,11)),"")</f>
        <v/>
      </c>
      <c r="N10" s="132">
        <f>IFERROR(SUMIFS(Data!$F:$F,Data!$B:$B,"พระราม 3",Data!$C:$C,"ITEM0661",Data!$A:$A,DATE(2026,5,12)),"")</f>
        <v/>
      </c>
      <c r="O10" s="132">
        <f>IFERROR(SUMIFS(Data!$F:$F,Data!$B:$B,"พระราม 3",Data!$C:$C,"ITEM0661",Data!$A:$A,DATE(2026,5,13)),"")</f>
        <v/>
      </c>
      <c r="P10" s="132">
        <f>IFERROR(SUMIFS(Data!$F:$F,Data!$B:$B,"พระราม 3",Data!$C:$C,"ITEM0661",Data!$A:$A,DATE(2026,5,14)),"")</f>
        <v/>
      </c>
      <c r="Q10" s="132">
        <f>IFERROR(SUMIFS(Data!$F:$F,Data!$B:$B,"พระราม 3",Data!$C:$C,"ITEM0661",Data!$A:$A,DATE(2026,5,15)),"")</f>
        <v/>
      </c>
      <c r="R10" s="132">
        <f>IFERROR(SUMIFS(Data!$F:$F,Data!$B:$B,"พระราม 3",Data!$C:$C,"ITEM0661",Data!$A:$A,DATE(2026,5,16)),"")</f>
        <v/>
      </c>
      <c r="S10" s="132">
        <f>IFERROR(SUMIFS(Data!$F:$F,Data!$B:$B,"พระราม 3",Data!$C:$C,"ITEM0661",Data!$A:$A,DATE(2026,5,17)),"")</f>
        <v/>
      </c>
      <c r="T10" s="132">
        <f>IFERROR(SUMIFS(Data!$F:$F,Data!$B:$B,"พระราม 3",Data!$C:$C,"ITEM0661",Data!$A:$A,DATE(2026,5,18)),"")</f>
        <v/>
      </c>
      <c r="U10" s="132">
        <f>IFERROR(SUMIFS(Data!$F:$F,Data!$B:$B,"พระราม 3",Data!$C:$C,"ITEM0661",Data!$A:$A,DATE(2026,5,19)),"")</f>
        <v/>
      </c>
      <c r="V10" s="132">
        <f>IFERROR(SUMIFS(Data!$F:$F,Data!$B:$B,"พระราม 3",Data!$C:$C,"ITEM0661",Data!$A:$A,DATE(2026,5,20)),"")</f>
        <v/>
      </c>
      <c r="W10" s="132">
        <f>IFERROR(SUMIFS(Data!$F:$F,Data!$B:$B,"พระราม 3",Data!$C:$C,"ITEM0661",Data!$A:$A,DATE(2026,5,21)),"")</f>
        <v/>
      </c>
      <c r="X10" s="132">
        <f>IFERROR(SUMIFS(Data!$F:$F,Data!$B:$B,"พระราม 3",Data!$C:$C,"ITEM0661",Data!$A:$A,DATE(2026,5,22)),"")</f>
        <v/>
      </c>
      <c r="Y10" s="132">
        <f>IFERROR(SUMIFS(Data!$F:$F,Data!$B:$B,"พระราม 3",Data!$C:$C,"ITEM0661",Data!$A:$A,DATE(2026,5,23)),"")</f>
        <v/>
      </c>
      <c r="Z10" s="132">
        <f>IFERROR(SUMIFS(Data!$F:$F,Data!$B:$B,"พระราม 3",Data!$C:$C,"ITEM0661",Data!$A:$A,DATE(2026,5,24)),"")</f>
        <v/>
      </c>
      <c r="AA10" s="132">
        <f>IFERROR(SUMIFS(Data!$F:$F,Data!$B:$B,"พระราม 3",Data!$C:$C,"ITEM0661",Data!$A:$A,DATE(2026,5,25)),"")</f>
        <v/>
      </c>
      <c r="AB10" s="132">
        <f>IFERROR(SUMIFS(Data!$F:$F,Data!$B:$B,"พระราม 3",Data!$C:$C,"ITEM0661",Data!$A:$A,DATE(2026,5,26)),"")</f>
        <v/>
      </c>
      <c r="AC10" s="132">
        <f>IFERROR(SUMIFS(Data!$F:$F,Data!$B:$B,"พระราม 3",Data!$C:$C,"ITEM0661",Data!$A:$A,DATE(2026,5,27)),"")</f>
        <v/>
      </c>
      <c r="AD10" s="132">
        <f>IFERROR(SUMIFS(Data!$F:$F,Data!$B:$B,"พระราม 3",Data!$C:$C,"ITEM0661",Data!$A:$A,DATE(2026,5,28)),"")</f>
        <v/>
      </c>
      <c r="AE10" s="132">
        <f>IFERROR(SUMIFS(Data!$F:$F,Data!$B:$B,"พระราม 3",Data!$C:$C,"ITEM0661",Data!$A:$A,DATE(2026,5,29)),"")</f>
        <v/>
      </c>
      <c r="AF10" s="132">
        <f>IFERROR(SUMIFS(Data!$F:$F,Data!$B:$B,"พระราม 3",Data!$C:$C,"ITEM0661",Data!$A:$A,DATE(2026,5,30)),"")</f>
        <v/>
      </c>
      <c r="AG10" s="132">
        <f>IFERROR(SUMIFS(Data!$F:$F,Data!$B:$B,"พระราม 3",Data!$C:$C,"ITEM0661",Data!$A:$A,DATE(2026,5,31)),"")</f>
        <v/>
      </c>
      <c r="AH10" s="72">
        <f>IFERROR(SUM(C10:AG10),0)</f>
        <v/>
      </c>
      <c r="AI10" s="72">
        <f>AH10*57</f>
        <v/>
      </c>
      <c r="AJ10" s="133">
        <f>IFERROR(AI10/AI17,0)</f>
        <v/>
      </c>
    </row>
    <row r="11" ht="19" customHeight="1" s="87">
      <c r="A11" s="74" t="inlineStr">
        <is>
          <t>ITEM0662</t>
        </is>
      </c>
      <c r="B11" s="75" t="inlineStr">
        <is>
          <t>ชุดเซตข้าวมันไก่ต้ม</t>
        </is>
      </c>
      <c r="C11" s="134">
        <f>IFERROR(SUMIFS(Data!$F:$F,Data!$B:$B,"พระราม 3",Data!$C:$C,"ITEM0662",Data!$A:$A,DATE(2026,5,1)),"")</f>
        <v/>
      </c>
      <c r="D11" s="134">
        <f>IFERROR(SUMIFS(Data!$F:$F,Data!$B:$B,"พระราม 3",Data!$C:$C,"ITEM0662",Data!$A:$A,DATE(2026,5,2)),"")</f>
        <v/>
      </c>
      <c r="E11" s="134">
        <f>IFERROR(SUMIFS(Data!$F:$F,Data!$B:$B,"พระราม 3",Data!$C:$C,"ITEM0662",Data!$A:$A,DATE(2026,5,3)),"")</f>
        <v/>
      </c>
      <c r="F11" s="134">
        <f>IFERROR(SUMIFS(Data!$F:$F,Data!$B:$B,"พระราม 3",Data!$C:$C,"ITEM0662",Data!$A:$A,DATE(2026,5,4)),"")</f>
        <v/>
      </c>
      <c r="G11" s="134">
        <f>IFERROR(SUMIFS(Data!$F:$F,Data!$B:$B,"พระราม 3",Data!$C:$C,"ITEM0662",Data!$A:$A,DATE(2026,5,5)),"")</f>
        <v/>
      </c>
      <c r="H11" s="134">
        <f>IFERROR(SUMIFS(Data!$F:$F,Data!$B:$B,"พระราม 3",Data!$C:$C,"ITEM0662",Data!$A:$A,DATE(2026,5,6)),"")</f>
        <v/>
      </c>
      <c r="I11" s="134">
        <f>IFERROR(SUMIFS(Data!$F:$F,Data!$B:$B,"พระราม 3",Data!$C:$C,"ITEM0662",Data!$A:$A,DATE(2026,5,7)),"")</f>
        <v/>
      </c>
      <c r="J11" s="134">
        <f>IFERROR(SUMIFS(Data!$F:$F,Data!$B:$B,"พระราม 3",Data!$C:$C,"ITEM0662",Data!$A:$A,DATE(2026,5,8)),"")</f>
        <v/>
      </c>
      <c r="K11" s="134">
        <f>IFERROR(SUMIFS(Data!$F:$F,Data!$B:$B,"พระราม 3",Data!$C:$C,"ITEM0662",Data!$A:$A,DATE(2026,5,9)),"")</f>
        <v/>
      </c>
      <c r="L11" s="134">
        <f>IFERROR(SUMIFS(Data!$F:$F,Data!$B:$B,"พระราม 3",Data!$C:$C,"ITEM0662",Data!$A:$A,DATE(2026,5,10)),"")</f>
        <v/>
      </c>
      <c r="M11" s="134">
        <f>IFERROR(SUMIFS(Data!$F:$F,Data!$B:$B,"พระราม 3",Data!$C:$C,"ITEM0662",Data!$A:$A,DATE(2026,5,11)),"")</f>
        <v/>
      </c>
      <c r="N11" s="134">
        <f>IFERROR(SUMIFS(Data!$F:$F,Data!$B:$B,"พระราม 3",Data!$C:$C,"ITEM0662",Data!$A:$A,DATE(2026,5,12)),"")</f>
        <v/>
      </c>
      <c r="O11" s="134">
        <f>IFERROR(SUMIFS(Data!$F:$F,Data!$B:$B,"พระราม 3",Data!$C:$C,"ITEM0662",Data!$A:$A,DATE(2026,5,13)),"")</f>
        <v/>
      </c>
      <c r="P11" s="134">
        <f>IFERROR(SUMIFS(Data!$F:$F,Data!$B:$B,"พระราม 3",Data!$C:$C,"ITEM0662",Data!$A:$A,DATE(2026,5,14)),"")</f>
        <v/>
      </c>
      <c r="Q11" s="134">
        <f>IFERROR(SUMIFS(Data!$F:$F,Data!$B:$B,"พระราม 3",Data!$C:$C,"ITEM0662",Data!$A:$A,DATE(2026,5,15)),"")</f>
        <v/>
      </c>
      <c r="R11" s="134">
        <f>IFERROR(SUMIFS(Data!$F:$F,Data!$B:$B,"พระราม 3",Data!$C:$C,"ITEM0662",Data!$A:$A,DATE(2026,5,16)),"")</f>
        <v/>
      </c>
      <c r="S11" s="134">
        <f>IFERROR(SUMIFS(Data!$F:$F,Data!$B:$B,"พระราม 3",Data!$C:$C,"ITEM0662",Data!$A:$A,DATE(2026,5,17)),"")</f>
        <v/>
      </c>
      <c r="T11" s="134">
        <f>IFERROR(SUMIFS(Data!$F:$F,Data!$B:$B,"พระราม 3",Data!$C:$C,"ITEM0662",Data!$A:$A,DATE(2026,5,18)),"")</f>
        <v/>
      </c>
      <c r="U11" s="134">
        <f>IFERROR(SUMIFS(Data!$F:$F,Data!$B:$B,"พระราม 3",Data!$C:$C,"ITEM0662",Data!$A:$A,DATE(2026,5,19)),"")</f>
        <v/>
      </c>
      <c r="V11" s="134">
        <f>IFERROR(SUMIFS(Data!$F:$F,Data!$B:$B,"พระราม 3",Data!$C:$C,"ITEM0662",Data!$A:$A,DATE(2026,5,20)),"")</f>
        <v/>
      </c>
      <c r="W11" s="134">
        <f>IFERROR(SUMIFS(Data!$F:$F,Data!$B:$B,"พระราม 3",Data!$C:$C,"ITEM0662",Data!$A:$A,DATE(2026,5,21)),"")</f>
        <v/>
      </c>
      <c r="X11" s="134">
        <f>IFERROR(SUMIFS(Data!$F:$F,Data!$B:$B,"พระราม 3",Data!$C:$C,"ITEM0662",Data!$A:$A,DATE(2026,5,22)),"")</f>
        <v/>
      </c>
      <c r="Y11" s="134">
        <f>IFERROR(SUMIFS(Data!$F:$F,Data!$B:$B,"พระราม 3",Data!$C:$C,"ITEM0662",Data!$A:$A,DATE(2026,5,23)),"")</f>
        <v/>
      </c>
      <c r="Z11" s="134">
        <f>IFERROR(SUMIFS(Data!$F:$F,Data!$B:$B,"พระราม 3",Data!$C:$C,"ITEM0662",Data!$A:$A,DATE(2026,5,24)),"")</f>
        <v/>
      </c>
      <c r="AA11" s="134">
        <f>IFERROR(SUMIFS(Data!$F:$F,Data!$B:$B,"พระราม 3",Data!$C:$C,"ITEM0662",Data!$A:$A,DATE(2026,5,25)),"")</f>
        <v/>
      </c>
      <c r="AB11" s="134">
        <f>IFERROR(SUMIFS(Data!$F:$F,Data!$B:$B,"พระราม 3",Data!$C:$C,"ITEM0662",Data!$A:$A,DATE(2026,5,26)),"")</f>
        <v/>
      </c>
      <c r="AC11" s="134">
        <f>IFERROR(SUMIFS(Data!$F:$F,Data!$B:$B,"พระราม 3",Data!$C:$C,"ITEM0662",Data!$A:$A,DATE(2026,5,27)),"")</f>
        <v/>
      </c>
      <c r="AD11" s="134">
        <f>IFERROR(SUMIFS(Data!$F:$F,Data!$B:$B,"พระราม 3",Data!$C:$C,"ITEM0662",Data!$A:$A,DATE(2026,5,28)),"")</f>
        <v/>
      </c>
      <c r="AE11" s="134">
        <f>IFERROR(SUMIFS(Data!$F:$F,Data!$B:$B,"พระราม 3",Data!$C:$C,"ITEM0662",Data!$A:$A,DATE(2026,5,29)),"")</f>
        <v/>
      </c>
      <c r="AF11" s="134">
        <f>IFERROR(SUMIFS(Data!$F:$F,Data!$B:$B,"พระราม 3",Data!$C:$C,"ITEM0662",Data!$A:$A,DATE(2026,5,30)),"")</f>
        <v/>
      </c>
      <c r="AG11" s="134">
        <f>IFERROR(SUMIFS(Data!$F:$F,Data!$B:$B,"พระราม 3",Data!$C:$C,"ITEM0662",Data!$A:$A,DATE(2026,5,31)),"")</f>
        <v/>
      </c>
      <c r="AH11" s="77">
        <f>IFERROR(SUM(C11:AG11),0)</f>
        <v/>
      </c>
      <c r="AI11" s="77">
        <f>AH11*100</f>
        <v/>
      </c>
      <c r="AJ11" s="135">
        <f>IFERROR(AI11/AI17,0)</f>
        <v/>
      </c>
    </row>
    <row r="12" ht="19" customHeight="1" s="87">
      <c r="A12" s="69" t="inlineStr">
        <is>
          <t>ITEM0663</t>
        </is>
      </c>
      <c r="B12" s="70" t="inlineStr">
        <is>
          <t>ชุดเซตข้าวมันไก่สิงคโปร์</t>
        </is>
      </c>
      <c r="C12" s="132">
        <f>IFERROR(SUMIFS(Data!$F:$F,Data!$B:$B,"พระราม 3",Data!$C:$C,"ITEM0663",Data!$A:$A,DATE(2026,5,1)),"")</f>
        <v/>
      </c>
      <c r="D12" s="132">
        <f>IFERROR(SUMIFS(Data!$F:$F,Data!$B:$B,"พระราม 3",Data!$C:$C,"ITEM0663",Data!$A:$A,DATE(2026,5,2)),"")</f>
        <v/>
      </c>
      <c r="E12" s="132">
        <f>IFERROR(SUMIFS(Data!$F:$F,Data!$B:$B,"พระราม 3",Data!$C:$C,"ITEM0663",Data!$A:$A,DATE(2026,5,3)),"")</f>
        <v/>
      </c>
      <c r="F12" s="132">
        <f>IFERROR(SUMIFS(Data!$F:$F,Data!$B:$B,"พระราม 3",Data!$C:$C,"ITEM0663",Data!$A:$A,DATE(2026,5,4)),"")</f>
        <v/>
      </c>
      <c r="G12" s="132">
        <f>IFERROR(SUMIFS(Data!$F:$F,Data!$B:$B,"พระราม 3",Data!$C:$C,"ITEM0663",Data!$A:$A,DATE(2026,5,5)),"")</f>
        <v/>
      </c>
      <c r="H12" s="132">
        <f>IFERROR(SUMIFS(Data!$F:$F,Data!$B:$B,"พระราม 3",Data!$C:$C,"ITEM0663",Data!$A:$A,DATE(2026,5,6)),"")</f>
        <v/>
      </c>
      <c r="I12" s="132">
        <f>IFERROR(SUMIFS(Data!$F:$F,Data!$B:$B,"พระราม 3",Data!$C:$C,"ITEM0663",Data!$A:$A,DATE(2026,5,7)),"")</f>
        <v/>
      </c>
      <c r="J12" s="132">
        <f>IFERROR(SUMIFS(Data!$F:$F,Data!$B:$B,"พระราม 3",Data!$C:$C,"ITEM0663",Data!$A:$A,DATE(2026,5,8)),"")</f>
        <v/>
      </c>
      <c r="K12" s="132">
        <f>IFERROR(SUMIFS(Data!$F:$F,Data!$B:$B,"พระราม 3",Data!$C:$C,"ITEM0663",Data!$A:$A,DATE(2026,5,9)),"")</f>
        <v/>
      </c>
      <c r="L12" s="132">
        <f>IFERROR(SUMIFS(Data!$F:$F,Data!$B:$B,"พระราม 3",Data!$C:$C,"ITEM0663",Data!$A:$A,DATE(2026,5,10)),"")</f>
        <v/>
      </c>
      <c r="M12" s="132">
        <f>IFERROR(SUMIFS(Data!$F:$F,Data!$B:$B,"พระราม 3",Data!$C:$C,"ITEM0663",Data!$A:$A,DATE(2026,5,11)),"")</f>
        <v/>
      </c>
      <c r="N12" s="132">
        <f>IFERROR(SUMIFS(Data!$F:$F,Data!$B:$B,"พระราม 3",Data!$C:$C,"ITEM0663",Data!$A:$A,DATE(2026,5,12)),"")</f>
        <v/>
      </c>
      <c r="O12" s="132">
        <f>IFERROR(SUMIFS(Data!$F:$F,Data!$B:$B,"พระราม 3",Data!$C:$C,"ITEM0663",Data!$A:$A,DATE(2026,5,13)),"")</f>
        <v/>
      </c>
      <c r="P12" s="132">
        <f>IFERROR(SUMIFS(Data!$F:$F,Data!$B:$B,"พระราม 3",Data!$C:$C,"ITEM0663",Data!$A:$A,DATE(2026,5,14)),"")</f>
        <v/>
      </c>
      <c r="Q12" s="132">
        <f>IFERROR(SUMIFS(Data!$F:$F,Data!$B:$B,"พระราม 3",Data!$C:$C,"ITEM0663",Data!$A:$A,DATE(2026,5,15)),"")</f>
        <v/>
      </c>
      <c r="R12" s="132">
        <f>IFERROR(SUMIFS(Data!$F:$F,Data!$B:$B,"พระราม 3",Data!$C:$C,"ITEM0663",Data!$A:$A,DATE(2026,5,16)),"")</f>
        <v/>
      </c>
      <c r="S12" s="132">
        <f>IFERROR(SUMIFS(Data!$F:$F,Data!$B:$B,"พระราม 3",Data!$C:$C,"ITEM0663",Data!$A:$A,DATE(2026,5,17)),"")</f>
        <v/>
      </c>
      <c r="T12" s="132">
        <f>IFERROR(SUMIFS(Data!$F:$F,Data!$B:$B,"พระราม 3",Data!$C:$C,"ITEM0663",Data!$A:$A,DATE(2026,5,18)),"")</f>
        <v/>
      </c>
      <c r="U12" s="132">
        <f>IFERROR(SUMIFS(Data!$F:$F,Data!$B:$B,"พระราม 3",Data!$C:$C,"ITEM0663",Data!$A:$A,DATE(2026,5,19)),"")</f>
        <v/>
      </c>
      <c r="V12" s="132">
        <f>IFERROR(SUMIFS(Data!$F:$F,Data!$B:$B,"พระราม 3",Data!$C:$C,"ITEM0663",Data!$A:$A,DATE(2026,5,20)),"")</f>
        <v/>
      </c>
      <c r="W12" s="132">
        <f>IFERROR(SUMIFS(Data!$F:$F,Data!$B:$B,"พระราม 3",Data!$C:$C,"ITEM0663",Data!$A:$A,DATE(2026,5,21)),"")</f>
        <v/>
      </c>
      <c r="X12" s="132">
        <f>IFERROR(SUMIFS(Data!$F:$F,Data!$B:$B,"พระราม 3",Data!$C:$C,"ITEM0663",Data!$A:$A,DATE(2026,5,22)),"")</f>
        <v/>
      </c>
      <c r="Y12" s="132">
        <f>IFERROR(SUMIFS(Data!$F:$F,Data!$B:$B,"พระราม 3",Data!$C:$C,"ITEM0663",Data!$A:$A,DATE(2026,5,23)),"")</f>
        <v/>
      </c>
      <c r="Z12" s="132">
        <f>IFERROR(SUMIFS(Data!$F:$F,Data!$B:$B,"พระราม 3",Data!$C:$C,"ITEM0663",Data!$A:$A,DATE(2026,5,24)),"")</f>
        <v/>
      </c>
      <c r="AA12" s="132">
        <f>IFERROR(SUMIFS(Data!$F:$F,Data!$B:$B,"พระราม 3",Data!$C:$C,"ITEM0663",Data!$A:$A,DATE(2026,5,25)),"")</f>
        <v/>
      </c>
      <c r="AB12" s="132">
        <f>IFERROR(SUMIFS(Data!$F:$F,Data!$B:$B,"พระราม 3",Data!$C:$C,"ITEM0663",Data!$A:$A,DATE(2026,5,26)),"")</f>
        <v/>
      </c>
      <c r="AC12" s="132">
        <f>IFERROR(SUMIFS(Data!$F:$F,Data!$B:$B,"พระราม 3",Data!$C:$C,"ITEM0663",Data!$A:$A,DATE(2026,5,27)),"")</f>
        <v/>
      </c>
      <c r="AD12" s="132">
        <f>IFERROR(SUMIFS(Data!$F:$F,Data!$B:$B,"พระราม 3",Data!$C:$C,"ITEM0663",Data!$A:$A,DATE(2026,5,28)),"")</f>
        <v/>
      </c>
      <c r="AE12" s="132">
        <f>IFERROR(SUMIFS(Data!$F:$F,Data!$B:$B,"พระราม 3",Data!$C:$C,"ITEM0663",Data!$A:$A,DATE(2026,5,29)),"")</f>
        <v/>
      </c>
      <c r="AF12" s="132">
        <f>IFERROR(SUMIFS(Data!$F:$F,Data!$B:$B,"พระราม 3",Data!$C:$C,"ITEM0663",Data!$A:$A,DATE(2026,5,30)),"")</f>
        <v/>
      </c>
      <c r="AG12" s="132">
        <f>IFERROR(SUMIFS(Data!$F:$F,Data!$B:$B,"พระราม 3",Data!$C:$C,"ITEM0663",Data!$A:$A,DATE(2026,5,31)),"")</f>
        <v/>
      </c>
      <c r="AH12" s="72">
        <f>IFERROR(SUM(C12:AG12),0)</f>
        <v/>
      </c>
      <c r="AI12" s="72">
        <f>AH12*119</f>
        <v/>
      </c>
      <c r="AJ12" s="133">
        <f>IFERROR(AI12/AI17,0)</f>
        <v/>
      </c>
    </row>
    <row r="13" ht="19" customHeight="1" s="87">
      <c r="A13" s="74" t="inlineStr">
        <is>
          <t>ITEM0664</t>
        </is>
      </c>
      <c r="B13" s="75" t="inlineStr">
        <is>
          <t>เพิ่มตับนุ่ม</t>
        </is>
      </c>
      <c r="C13" s="134">
        <f>IFERROR(SUMIFS(Data!$F:$F,Data!$B:$B,"พระราม 3",Data!$C:$C,"ITEM0664",Data!$A:$A,DATE(2026,5,1)),"")</f>
        <v/>
      </c>
      <c r="D13" s="134">
        <f>IFERROR(SUMIFS(Data!$F:$F,Data!$B:$B,"พระราม 3",Data!$C:$C,"ITEM0664",Data!$A:$A,DATE(2026,5,2)),"")</f>
        <v/>
      </c>
      <c r="E13" s="134">
        <f>IFERROR(SUMIFS(Data!$F:$F,Data!$B:$B,"พระราม 3",Data!$C:$C,"ITEM0664",Data!$A:$A,DATE(2026,5,3)),"")</f>
        <v/>
      </c>
      <c r="F13" s="134">
        <f>IFERROR(SUMIFS(Data!$F:$F,Data!$B:$B,"พระราม 3",Data!$C:$C,"ITEM0664",Data!$A:$A,DATE(2026,5,4)),"")</f>
        <v/>
      </c>
      <c r="G13" s="134">
        <f>IFERROR(SUMIFS(Data!$F:$F,Data!$B:$B,"พระราม 3",Data!$C:$C,"ITEM0664",Data!$A:$A,DATE(2026,5,5)),"")</f>
        <v/>
      </c>
      <c r="H13" s="134">
        <f>IFERROR(SUMIFS(Data!$F:$F,Data!$B:$B,"พระราม 3",Data!$C:$C,"ITEM0664",Data!$A:$A,DATE(2026,5,6)),"")</f>
        <v/>
      </c>
      <c r="I13" s="134">
        <f>IFERROR(SUMIFS(Data!$F:$F,Data!$B:$B,"พระราม 3",Data!$C:$C,"ITEM0664",Data!$A:$A,DATE(2026,5,7)),"")</f>
        <v/>
      </c>
      <c r="J13" s="134">
        <f>IFERROR(SUMIFS(Data!$F:$F,Data!$B:$B,"พระราม 3",Data!$C:$C,"ITEM0664",Data!$A:$A,DATE(2026,5,8)),"")</f>
        <v/>
      </c>
      <c r="K13" s="134">
        <f>IFERROR(SUMIFS(Data!$F:$F,Data!$B:$B,"พระราม 3",Data!$C:$C,"ITEM0664",Data!$A:$A,DATE(2026,5,9)),"")</f>
        <v/>
      </c>
      <c r="L13" s="134">
        <f>IFERROR(SUMIFS(Data!$F:$F,Data!$B:$B,"พระราม 3",Data!$C:$C,"ITEM0664",Data!$A:$A,DATE(2026,5,10)),"")</f>
        <v/>
      </c>
      <c r="M13" s="134">
        <f>IFERROR(SUMIFS(Data!$F:$F,Data!$B:$B,"พระราม 3",Data!$C:$C,"ITEM0664",Data!$A:$A,DATE(2026,5,11)),"")</f>
        <v/>
      </c>
      <c r="N13" s="134">
        <f>IFERROR(SUMIFS(Data!$F:$F,Data!$B:$B,"พระราม 3",Data!$C:$C,"ITEM0664",Data!$A:$A,DATE(2026,5,12)),"")</f>
        <v/>
      </c>
      <c r="O13" s="134">
        <f>IFERROR(SUMIFS(Data!$F:$F,Data!$B:$B,"พระราม 3",Data!$C:$C,"ITEM0664",Data!$A:$A,DATE(2026,5,13)),"")</f>
        <v/>
      </c>
      <c r="P13" s="134">
        <f>IFERROR(SUMIFS(Data!$F:$F,Data!$B:$B,"พระราม 3",Data!$C:$C,"ITEM0664",Data!$A:$A,DATE(2026,5,14)),"")</f>
        <v/>
      </c>
      <c r="Q13" s="134">
        <f>IFERROR(SUMIFS(Data!$F:$F,Data!$B:$B,"พระราม 3",Data!$C:$C,"ITEM0664",Data!$A:$A,DATE(2026,5,15)),"")</f>
        <v/>
      </c>
      <c r="R13" s="134">
        <f>IFERROR(SUMIFS(Data!$F:$F,Data!$B:$B,"พระราม 3",Data!$C:$C,"ITEM0664",Data!$A:$A,DATE(2026,5,16)),"")</f>
        <v/>
      </c>
      <c r="S13" s="134">
        <f>IFERROR(SUMIFS(Data!$F:$F,Data!$B:$B,"พระราม 3",Data!$C:$C,"ITEM0664",Data!$A:$A,DATE(2026,5,17)),"")</f>
        <v/>
      </c>
      <c r="T13" s="134">
        <f>IFERROR(SUMIFS(Data!$F:$F,Data!$B:$B,"พระราม 3",Data!$C:$C,"ITEM0664",Data!$A:$A,DATE(2026,5,18)),"")</f>
        <v/>
      </c>
      <c r="U13" s="134">
        <f>IFERROR(SUMIFS(Data!$F:$F,Data!$B:$B,"พระราม 3",Data!$C:$C,"ITEM0664",Data!$A:$A,DATE(2026,5,19)),"")</f>
        <v/>
      </c>
      <c r="V13" s="134">
        <f>IFERROR(SUMIFS(Data!$F:$F,Data!$B:$B,"พระราม 3",Data!$C:$C,"ITEM0664",Data!$A:$A,DATE(2026,5,20)),"")</f>
        <v/>
      </c>
      <c r="W13" s="134">
        <f>IFERROR(SUMIFS(Data!$F:$F,Data!$B:$B,"พระราม 3",Data!$C:$C,"ITEM0664",Data!$A:$A,DATE(2026,5,21)),"")</f>
        <v/>
      </c>
      <c r="X13" s="134">
        <f>IFERROR(SUMIFS(Data!$F:$F,Data!$B:$B,"พระราม 3",Data!$C:$C,"ITEM0664",Data!$A:$A,DATE(2026,5,22)),"")</f>
        <v/>
      </c>
      <c r="Y13" s="134">
        <f>IFERROR(SUMIFS(Data!$F:$F,Data!$B:$B,"พระราม 3",Data!$C:$C,"ITEM0664",Data!$A:$A,DATE(2026,5,23)),"")</f>
        <v/>
      </c>
      <c r="Z13" s="134">
        <f>IFERROR(SUMIFS(Data!$F:$F,Data!$B:$B,"พระราม 3",Data!$C:$C,"ITEM0664",Data!$A:$A,DATE(2026,5,24)),"")</f>
        <v/>
      </c>
      <c r="AA13" s="134">
        <f>IFERROR(SUMIFS(Data!$F:$F,Data!$B:$B,"พระราม 3",Data!$C:$C,"ITEM0664",Data!$A:$A,DATE(2026,5,25)),"")</f>
        <v/>
      </c>
      <c r="AB13" s="134">
        <f>IFERROR(SUMIFS(Data!$F:$F,Data!$B:$B,"พระราม 3",Data!$C:$C,"ITEM0664",Data!$A:$A,DATE(2026,5,26)),"")</f>
        <v/>
      </c>
      <c r="AC13" s="134">
        <f>IFERROR(SUMIFS(Data!$F:$F,Data!$B:$B,"พระราม 3",Data!$C:$C,"ITEM0664",Data!$A:$A,DATE(2026,5,27)),"")</f>
        <v/>
      </c>
      <c r="AD13" s="134">
        <f>IFERROR(SUMIFS(Data!$F:$F,Data!$B:$B,"พระราม 3",Data!$C:$C,"ITEM0664",Data!$A:$A,DATE(2026,5,28)),"")</f>
        <v/>
      </c>
      <c r="AE13" s="134">
        <f>IFERROR(SUMIFS(Data!$F:$F,Data!$B:$B,"พระราม 3",Data!$C:$C,"ITEM0664",Data!$A:$A,DATE(2026,5,29)),"")</f>
        <v/>
      </c>
      <c r="AF13" s="134">
        <f>IFERROR(SUMIFS(Data!$F:$F,Data!$B:$B,"พระราม 3",Data!$C:$C,"ITEM0664",Data!$A:$A,DATE(2026,5,30)),"")</f>
        <v/>
      </c>
      <c r="AG13" s="134">
        <f>IFERROR(SUMIFS(Data!$F:$F,Data!$B:$B,"พระราม 3",Data!$C:$C,"ITEM0664",Data!$A:$A,DATE(2026,5,31)),"")</f>
        <v/>
      </c>
      <c r="AH13" s="77">
        <f>IFERROR(SUM(C13:AG13),0)</f>
        <v/>
      </c>
      <c r="AI13" s="77">
        <f>AH13*15</f>
        <v/>
      </c>
      <c r="AJ13" s="135">
        <f>IFERROR(AI13/AI17,0)</f>
        <v/>
      </c>
    </row>
    <row r="14" ht="19" customHeight="1" s="87">
      <c r="A14" s="69" t="inlineStr">
        <is>
          <t>ITEM0665</t>
        </is>
      </c>
      <c r="B14" s="70" t="inlineStr">
        <is>
          <t>ข้าวมันเปล่า</t>
        </is>
      </c>
      <c r="C14" s="132">
        <f>IFERROR(SUMIFS(Data!$F:$F,Data!$B:$B,"พระราม 3",Data!$C:$C,"ITEM0665",Data!$A:$A,DATE(2026,5,1)),"")</f>
        <v/>
      </c>
      <c r="D14" s="132">
        <f>IFERROR(SUMIFS(Data!$F:$F,Data!$B:$B,"พระราม 3",Data!$C:$C,"ITEM0665",Data!$A:$A,DATE(2026,5,2)),"")</f>
        <v/>
      </c>
      <c r="E14" s="132">
        <f>IFERROR(SUMIFS(Data!$F:$F,Data!$B:$B,"พระราม 3",Data!$C:$C,"ITEM0665",Data!$A:$A,DATE(2026,5,3)),"")</f>
        <v/>
      </c>
      <c r="F14" s="132">
        <f>IFERROR(SUMIFS(Data!$F:$F,Data!$B:$B,"พระราม 3",Data!$C:$C,"ITEM0665",Data!$A:$A,DATE(2026,5,4)),"")</f>
        <v/>
      </c>
      <c r="G14" s="132">
        <f>IFERROR(SUMIFS(Data!$F:$F,Data!$B:$B,"พระราม 3",Data!$C:$C,"ITEM0665",Data!$A:$A,DATE(2026,5,5)),"")</f>
        <v/>
      </c>
      <c r="H14" s="132">
        <f>IFERROR(SUMIFS(Data!$F:$F,Data!$B:$B,"พระราม 3",Data!$C:$C,"ITEM0665",Data!$A:$A,DATE(2026,5,6)),"")</f>
        <v/>
      </c>
      <c r="I14" s="132">
        <f>IFERROR(SUMIFS(Data!$F:$F,Data!$B:$B,"พระราม 3",Data!$C:$C,"ITEM0665",Data!$A:$A,DATE(2026,5,7)),"")</f>
        <v/>
      </c>
      <c r="J14" s="132">
        <f>IFERROR(SUMIFS(Data!$F:$F,Data!$B:$B,"พระราม 3",Data!$C:$C,"ITEM0665",Data!$A:$A,DATE(2026,5,8)),"")</f>
        <v/>
      </c>
      <c r="K14" s="132">
        <f>IFERROR(SUMIFS(Data!$F:$F,Data!$B:$B,"พระราม 3",Data!$C:$C,"ITEM0665",Data!$A:$A,DATE(2026,5,9)),"")</f>
        <v/>
      </c>
      <c r="L14" s="132">
        <f>IFERROR(SUMIFS(Data!$F:$F,Data!$B:$B,"พระราม 3",Data!$C:$C,"ITEM0665",Data!$A:$A,DATE(2026,5,10)),"")</f>
        <v/>
      </c>
      <c r="M14" s="132">
        <f>IFERROR(SUMIFS(Data!$F:$F,Data!$B:$B,"พระราม 3",Data!$C:$C,"ITEM0665",Data!$A:$A,DATE(2026,5,11)),"")</f>
        <v/>
      </c>
      <c r="N14" s="132">
        <f>IFERROR(SUMIFS(Data!$F:$F,Data!$B:$B,"พระราม 3",Data!$C:$C,"ITEM0665",Data!$A:$A,DATE(2026,5,12)),"")</f>
        <v/>
      </c>
      <c r="O14" s="132">
        <f>IFERROR(SUMIFS(Data!$F:$F,Data!$B:$B,"พระราม 3",Data!$C:$C,"ITEM0665",Data!$A:$A,DATE(2026,5,13)),"")</f>
        <v/>
      </c>
      <c r="P14" s="132">
        <f>IFERROR(SUMIFS(Data!$F:$F,Data!$B:$B,"พระราม 3",Data!$C:$C,"ITEM0665",Data!$A:$A,DATE(2026,5,14)),"")</f>
        <v/>
      </c>
      <c r="Q14" s="132">
        <f>IFERROR(SUMIFS(Data!$F:$F,Data!$B:$B,"พระราม 3",Data!$C:$C,"ITEM0665",Data!$A:$A,DATE(2026,5,15)),"")</f>
        <v/>
      </c>
      <c r="R14" s="132">
        <f>IFERROR(SUMIFS(Data!$F:$F,Data!$B:$B,"พระราม 3",Data!$C:$C,"ITEM0665",Data!$A:$A,DATE(2026,5,16)),"")</f>
        <v/>
      </c>
      <c r="S14" s="132">
        <f>IFERROR(SUMIFS(Data!$F:$F,Data!$B:$B,"พระราม 3",Data!$C:$C,"ITEM0665",Data!$A:$A,DATE(2026,5,17)),"")</f>
        <v/>
      </c>
      <c r="T14" s="132">
        <f>IFERROR(SUMIFS(Data!$F:$F,Data!$B:$B,"พระราม 3",Data!$C:$C,"ITEM0665",Data!$A:$A,DATE(2026,5,18)),"")</f>
        <v/>
      </c>
      <c r="U14" s="132">
        <f>IFERROR(SUMIFS(Data!$F:$F,Data!$B:$B,"พระราม 3",Data!$C:$C,"ITEM0665",Data!$A:$A,DATE(2026,5,19)),"")</f>
        <v/>
      </c>
      <c r="V14" s="132">
        <f>IFERROR(SUMIFS(Data!$F:$F,Data!$B:$B,"พระราม 3",Data!$C:$C,"ITEM0665",Data!$A:$A,DATE(2026,5,20)),"")</f>
        <v/>
      </c>
      <c r="W14" s="132">
        <f>IFERROR(SUMIFS(Data!$F:$F,Data!$B:$B,"พระราม 3",Data!$C:$C,"ITEM0665",Data!$A:$A,DATE(2026,5,21)),"")</f>
        <v/>
      </c>
      <c r="X14" s="132">
        <f>IFERROR(SUMIFS(Data!$F:$F,Data!$B:$B,"พระราม 3",Data!$C:$C,"ITEM0665",Data!$A:$A,DATE(2026,5,22)),"")</f>
        <v/>
      </c>
      <c r="Y14" s="132">
        <f>IFERROR(SUMIFS(Data!$F:$F,Data!$B:$B,"พระราม 3",Data!$C:$C,"ITEM0665",Data!$A:$A,DATE(2026,5,23)),"")</f>
        <v/>
      </c>
      <c r="Z14" s="132">
        <f>IFERROR(SUMIFS(Data!$F:$F,Data!$B:$B,"พระราม 3",Data!$C:$C,"ITEM0665",Data!$A:$A,DATE(2026,5,24)),"")</f>
        <v/>
      </c>
      <c r="AA14" s="132">
        <f>IFERROR(SUMIFS(Data!$F:$F,Data!$B:$B,"พระราม 3",Data!$C:$C,"ITEM0665",Data!$A:$A,DATE(2026,5,25)),"")</f>
        <v/>
      </c>
      <c r="AB14" s="132">
        <f>IFERROR(SUMIFS(Data!$F:$F,Data!$B:$B,"พระราม 3",Data!$C:$C,"ITEM0665",Data!$A:$A,DATE(2026,5,26)),"")</f>
        <v/>
      </c>
      <c r="AC14" s="132">
        <f>IFERROR(SUMIFS(Data!$F:$F,Data!$B:$B,"พระราม 3",Data!$C:$C,"ITEM0665",Data!$A:$A,DATE(2026,5,27)),"")</f>
        <v/>
      </c>
      <c r="AD14" s="132">
        <f>IFERROR(SUMIFS(Data!$F:$F,Data!$B:$B,"พระราม 3",Data!$C:$C,"ITEM0665",Data!$A:$A,DATE(2026,5,28)),"")</f>
        <v/>
      </c>
      <c r="AE14" s="132">
        <f>IFERROR(SUMIFS(Data!$F:$F,Data!$B:$B,"พระราม 3",Data!$C:$C,"ITEM0665",Data!$A:$A,DATE(2026,5,29)),"")</f>
        <v/>
      </c>
      <c r="AF14" s="132">
        <f>IFERROR(SUMIFS(Data!$F:$F,Data!$B:$B,"พระราม 3",Data!$C:$C,"ITEM0665",Data!$A:$A,DATE(2026,5,30)),"")</f>
        <v/>
      </c>
      <c r="AG14" s="132">
        <f>IFERROR(SUMIFS(Data!$F:$F,Data!$B:$B,"พระราม 3",Data!$C:$C,"ITEM0665",Data!$A:$A,DATE(2026,5,31)),"")</f>
        <v/>
      </c>
      <c r="AH14" s="72">
        <f>IFERROR(SUM(C14:AG14),0)</f>
        <v/>
      </c>
      <c r="AI14" s="72">
        <f>AH14*10</f>
        <v/>
      </c>
      <c r="AJ14" s="133">
        <f>IFERROR(AI14/AI17,0)</f>
        <v/>
      </c>
    </row>
    <row r="15" ht="19" customHeight="1" s="87">
      <c r="A15" s="74" t="inlineStr">
        <is>
          <t>ITEM0666</t>
        </is>
      </c>
      <c r="B15" s="75" t="inlineStr">
        <is>
          <t>ไข่ยางมะตูม</t>
        </is>
      </c>
      <c r="C15" s="134">
        <f>IFERROR(SUMIFS(Data!$F:$F,Data!$B:$B,"พระราม 3",Data!$C:$C,"ITEM0666",Data!$A:$A,DATE(2026,5,1)),"")</f>
        <v/>
      </c>
      <c r="D15" s="134">
        <f>IFERROR(SUMIFS(Data!$F:$F,Data!$B:$B,"พระราม 3",Data!$C:$C,"ITEM0666",Data!$A:$A,DATE(2026,5,2)),"")</f>
        <v/>
      </c>
      <c r="E15" s="134">
        <f>IFERROR(SUMIFS(Data!$F:$F,Data!$B:$B,"พระราม 3",Data!$C:$C,"ITEM0666",Data!$A:$A,DATE(2026,5,3)),"")</f>
        <v/>
      </c>
      <c r="F15" s="134">
        <f>IFERROR(SUMIFS(Data!$F:$F,Data!$B:$B,"พระราม 3",Data!$C:$C,"ITEM0666",Data!$A:$A,DATE(2026,5,4)),"")</f>
        <v/>
      </c>
      <c r="G15" s="134">
        <f>IFERROR(SUMIFS(Data!$F:$F,Data!$B:$B,"พระราม 3",Data!$C:$C,"ITEM0666",Data!$A:$A,DATE(2026,5,5)),"")</f>
        <v/>
      </c>
      <c r="H15" s="134">
        <f>IFERROR(SUMIFS(Data!$F:$F,Data!$B:$B,"พระราม 3",Data!$C:$C,"ITEM0666",Data!$A:$A,DATE(2026,5,6)),"")</f>
        <v/>
      </c>
      <c r="I15" s="134">
        <f>IFERROR(SUMIFS(Data!$F:$F,Data!$B:$B,"พระราม 3",Data!$C:$C,"ITEM0666",Data!$A:$A,DATE(2026,5,7)),"")</f>
        <v/>
      </c>
      <c r="J15" s="134">
        <f>IFERROR(SUMIFS(Data!$F:$F,Data!$B:$B,"พระราม 3",Data!$C:$C,"ITEM0666",Data!$A:$A,DATE(2026,5,8)),"")</f>
        <v/>
      </c>
      <c r="K15" s="134">
        <f>IFERROR(SUMIFS(Data!$F:$F,Data!$B:$B,"พระราม 3",Data!$C:$C,"ITEM0666",Data!$A:$A,DATE(2026,5,9)),"")</f>
        <v/>
      </c>
      <c r="L15" s="134">
        <f>IFERROR(SUMIFS(Data!$F:$F,Data!$B:$B,"พระราม 3",Data!$C:$C,"ITEM0666",Data!$A:$A,DATE(2026,5,10)),"")</f>
        <v/>
      </c>
      <c r="M15" s="134">
        <f>IFERROR(SUMIFS(Data!$F:$F,Data!$B:$B,"พระราม 3",Data!$C:$C,"ITEM0666",Data!$A:$A,DATE(2026,5,11)),"")</f>
        <v/>
      </c>
      <c r="N15" s="134">
        <f>IFERROR(SUMIFS(Data!$F:$F,Data!$B:$B,"พระราม 3",Data!$C:$C,"ITEM0666",Data!$A:$A,DATE(2026,5,12)),"")</f>
        <v/>
      </c>
      <c r="O15" s="134">
        <f>IFERROR(SUMIFS(Data!$F:$F,Data!$B:$B,"พระราม 3",Data!$C:$C,"ITEM0666",Data!$A:$A,DATE(2026,5,13)),"")</f>
        <v/>
      </c>
      <c r="P15" s="134">
        <f>IFERROR(SUMIFS(Data!$F:$F,Data!$B:$B,"พระราม 3",Data!$C:$C,"ITEM0666",Data!$A:$A,DATE(2026,5,14)),"")</f>
        <v/>
      </c>
      <c r="Q15" s="134">
        <f>IFERROR(SUMIFS(Data!$F:$F,Data!$B:$B,"พระราม 3",Data!$C:$C,"ITEM0666",Data!$A:$A,DATE(2026,5,15)),"")</f>
        <v/>
      </c>
      <c r="R15" s="134">
        <f>IFERROR(SUMIFS(Data!$F:$F,Data!$B:$B,"พระราม 3",Data!$C:$C,"ITEM0666",Data!$A:$A,DATE(2026,5,16)),"")</f>
        <v/>
      </c>
      <c r="S15" s="134">
        <f>IFERROR(SUMIFS(Data!$F:$F,Data!$B:$B,"พระราม 3",Data!$C:$C,"ITEM0666",Data!$A:$A,DATE(2026,5,17)),"")</f>
        <v/>
      </c>
      <c r="T15" s="134">
        <f>IFERROR(SUMIFS(Data!$F:$F,Data!$B:$B,"พระราม 3",Data!$C:$C,"ITEM0666",Data!$A:$A,DATE(2026,5,18)),"")</f>
        <v/>
      </c>
      <c r="U15" s="134">
        <f>IFERROR(SUMIFS(Data!$F:$F,Data!$B:$B,"พระราม 3",Data!$C:$C,"ITEM0666",Data!$A:$A,DATE(2026,5,19)),"")</f>
        <v/>
      </c>
      <c r="V15" s="134">
        <f>IFERROR(SUMIFS(Data!$F:$F,Data!$B:$B,"พระราม 3",Data!$C:$C,"ITEM0666",Data!$A:$A,DATE(2026,5,20)),"")</f>
        <v/>
      </c>
      <c r="W15" s="134">
        <f>IFERROR(SUMIFS(Data!$F:$F,Data!$B:$B,"พระราม 3",Data!$C:$C,"ITEM0666",Data!$A:$A,DATE(2026,5,21)),"")</f>
        <v/>
      </c>
      <c r="X15" s="134">
        <f>IFERROR(SUMIFS(Data!$F:$F,Data!$B:$B,"พระราม 3",Data!$C:$C,"ITEM0666",Data!$A:$A,DATE(2026,5,22)),"")</f>
        <v/>
      </c>
      <c r="Y15" s="134">
        <f>IFERROR(SUMIFS(Data!$F:$F,Data!$B:$B,"พระราม 3",Data!$C:$C,"ITEM0666",Data!$A:$A,DATE(2026,5,23)),"")</f>
        <v/>
      </c>
      <c r="Z15" s="134">
        <f>IFERROR(SUMIFS(Data!$F:$F,Data!$B:$B,"พระราม 3",Data!$C:$C,"ITEM0666",Data!$A:$A,DATE(2026,5,24)),"")</f>
        <v/>
      </c>
      <c r="AA15" s="134">
        <f>IFERROR(SUMIFS(Data!$F:$F,Data!$B:$B,"พระราม 3",Data!$C:$C,"ITEM0666",Data!$A:$A,DATE(2026,5,25)),"")</f>
        <v/>
      </c>
      <c r="AB15" s="134">
        <f>IFERROR(SUMIFS(Data!$F:$F,Data!$B:$B,"พระราม 3",Data!$C:$C,"ITEM0666",Data!$A:$A,DATE(2026,5,26)),"")</f>
        <v/>
      </c>
      <c r="AC15" s="134">
        <f>IFERROR(SUMIFS(Data!$F:$F,Data!$B:$B,"พระราม 3",Data!$C:$C,"ITEM0666",Data!$A:$A,DATE(2026,5,27)),"")</f>
        <v/>
      </c>
      <c r="AD15" s="134">
        <f>IFERROR(SUMIFS(Data!$F:$F,Data!$B:$B,"พระราม 3",Data!$C:$C,"ITEM0666",Data!$A:$A,DATE(2026,5,28)),"")</f>
        <v/>
      </c>
      <c r="AE15" s="134">
        <f>IFERROR(SUMIFS(Data!$F:$F,Data!$B:$B,"พระราม 3",Data!$C:$C,"ITEM0666",Data!$A:$A,DATE(2026,5,29)),"")</f>
        <v/>
      </c>
      <c r="AF15" s="134">
        <f>IFERROR(SUMIFS(Data!$F:$F,Data!$B:$B,"พระราม 3",Data!$C:$C,"ITEM0666",Data!$A:$A,DATE(2026,5,30)),"")</f>
        <v/>
      </c>
      <c r="AG15" s="134">
        <f>IFERROR(SUMIFS(Data!$F:$F,Data!$B:$B,"พระราม 3",Data!$C:$C,"ITEM0666",Data!$A:$A,DATE(2026,5,31)),"")</f>
        <v/>
      </c>
      <c r="AH15" s="77">
        <f>IFERROR(SUM(C15:AG15),0)</f>
        <v/>
      </c>
      <c r="AI15" s="77">
        <f>AH15*7</f>
        <v/>
      </c>
      <c r="AJ15" s="135">
        <f>IFERROR(AI15/AI17,0)</f>
        <v/>
      </c>
    </row>
    <row r="16" ht="3.75" customHeight="1" s="87"/>
    <row r="17" ht="24" customHeight="1" s="87">
      <c r="A17" s="79" t="n"/>
      <c r="B17" s="34" t="inlineStr">
        <is>
          <t>รวมทั้งหมด</t>
        </is>
      </c>
      <c r="C17" s="80">
        <f>IFERROR(SUM(C4:C15),0)</f>
        <v/>
      </c>
      <c r="D17" s="80">
        <f>IFERROR(SUM(D4:D15),0)</f>
        <v/>
      </c>
      <c r="E17" s="80">
        <f>IFERROR(SUM(E4:E15),0)</f>
        <v/>
      </c>
      <c r="F17" s="80">
        <f>IFERROR(SUM(F4:F15),0)</f>
        <v/>
      </c>
      <c r="G17" s="80">
        <f>IFERROR(SUM(G4:G15),0)</f>
        <v/>
      </c>
      <c r="H17" s="80">
        <f>IFERROR(SUM(H4:H15),0)</f>
        <v/>
      </c>
      <c r="I17" s="80">
        <f>IFERROR(SUM(I4:I15),0)</f>
        <v/>
      </c>
      <c r="J17" s="80">
        <f>IFERROR(SUM(J4:J15),0)</f>
        <v/>
      </c>
      <c r="K17" s="80">
        <f>IFERROR(SUM(K4:K15),0)</f>
        <v/>
      </c>
      <c r="L17" s="80">
        <f>IFERROR(SUM(L4:L15),0)</f>
        <v/>
      </c>
      <c r="M17" s="80">
        <f>IFERROR(SUM(M4:M15),0)</f>
        <v/>
      </c>
      <c r="N17" s="80">
        <f>IFERROR(SUM(N4:N15),0)</f>
        <v/>
      </c>
      <c r="O17" s="80">
        <f>IFERROR(SUM(O4:O15),0)</f>
        <v/>
      </c>
      <c r="P17" s="80">
        <f>IFERROR(SUM(P4:P15),0)</f>
        <v/>
      </c>
      <c r="Q17" s="80">
        <f>IFERROR(SUM(Q4:Q15),0)</f>
        <v/>
      </c>
      <c r="R17" s="80">
        <f>IFERROR(SUM(R4:R15),0)</f>
        <v/>
      </c>
      <c r="S17" s="80">
        <f>IFERROR(SUM(S4:S15),0)</f>
        <v/>
      </c>
      <c r="T17" s="80">
        <f>IFERROR(SUM(T4:T15),0)</f>
        <v/>
      </c>
      <c r="U17" s="80">
        <f>IFERROR(SUM(U4:U15),0)</f>
        <v/>
      </c>
      <c r="V17" s="80">
        <f>IFERROR(SUM(V4:V15),0)</f>
        <v/>
      </c>
      <c r="W17" s="80">
        <f>IFERROR(SUM(W4:W15),0)</f>
        <v/>
      </c>
      <c r="X17" s="80">
        <f>IFERROR(SUM(X4:X15),0)</f>
        <v/>
      </c>
      <c r="Y17" s="80">
        <f>IFERROR(SUM(Y4:Y15),0)</f>
        <v/>
      </c>
      <c r="Z17" s="80">
        <f>IFERROR(SUM(Z4:Z15),0)</f>
        <v/>
      </c>
      <c r="AA17" s="80">
        <f>IFERROR(SUM(AA4:AA15),0)</f>
        <v/>
      </c>
      <c r="AB17" s="80">
        <f>IFERROR(SUM(AB4:AB15),0)</f>
        <v/>
      </c>
      <c r="AC17" s="80">
        <f>IFERROR(SUM(AC4:AC15),0)</f>
        <v/>
      </c>
      <c r="AD17" s="80">
        <f>IFERROR(SUM(AD4:AD15),0)</f>
        <v/>
      </c>
      <c r="AE17" s="80">
        <f>IFERROR(SUM(AE4:AE15),0)</f>
        <v/>
      </c>
      <c r="AF17" s="80">
        <f>IFERROR(SUM(AF4:AF15),0)</f>
        <v/>
      </c>
      <c r="AG17" s="80">
        <f>IFERROR(SUM(AG4:AG15),0)</f>
        <v/>
      </c>
      <c r="AH17" s="35">
        <f>IFERROR(SUM(AH4:AH15),0)</f>
        <v/>
      </c>
      <c r="AI17" s="35">
        <f>IFERROR(SUM(AI4:AI15),0)</f>
        <v/>
      </c>
      <c r="AJ17" s="79" t="n"/>
    </row>
    <row r="18" ht="3.75" customHeight="1" s="87"/>
    <row r="19" ht="24" customHeight="1" s="87">
      <c r="A19" s="113" t="inlineStr">
        <is>
          <t>ยอดรวมจาก Data (฿)</t>
        </is>
      </c>
      <c r="B19" s="117" t="n"/>
      <c r="C19" s="136">
        <f>IFERROR(SUMIFS(Data!$F:$F,Data!$B:$B,"พระราม 3",Data!$A:$A,DATE(2026,5,1)),"—")</f>
        <v/>
      </c>
      <c r="D19" s="136">
        <f>IFERROR(SUMIFS(Data!$F:$F,Data!$B:$B,"พระราม 3",Data!$A:$A,DATE(2026,5,2)),"—")</f>
        <v/>
      </c>
      <c r="E19" s="136">
        <f>IFERROR(SUMIFS(Data!$F:$F,Data!$B:$B,"พระราม 3",Data!$A:$A,DATE(2026,5,3)),"—")</f>
        <v/>
      </c>
      <c r="F19" s="136">
        <f>IFERROR(SUMIFS(Data!$F:$F,Data!$B:$B,"พระราม 3",Data!$A:$A,DATE(2026,5,4)),"—")</f>
        <v/>
      </c>
      <c r="G19" s="136">
        <f>IFERROR(SUMIFS(Data!$F:$F,Data!$B:$B,"พระราม 3",Data!$A:$A,DATE(2026,5,5)),"—")</f>
        <v/>
      </c>
      <c r="H19" s="136">
        <f>IFERROR(SUMIFS(Data!$F:$F,Data!$B:$B,"พระราม 3",Data!$A:$A,DATE(2026,5,6)),"—")</f>
        <v/>
      </c>
      <c r="I19" s="136">
        <f>IFERROR(SUMIFS(Data!$F:$F,Data!$B:$B,"พระราม 3",Data!$A:$A,DATE(2026,5,7)),"—")</f>
        <v/>
      </c>
      <c r="J19" s="136">
        <f>IFERROR(SUMIFS(Data!$F:$F,Data!$B:$B,"พระราม 3",Data!$A:$A,DATE(2026,5,8)),"—")</f>
        <v/>
      </c>
      <c r="K19" s="136">
        <f>IFERROR(SUMIFS(Data!$F:$F,Data!$B:$B,"พระราม 3",Data!$A:$A,DATE(2026,5,9)),"—")</f>
        <v/>
      </c>
      <c r="L19" s="136">
        <f>IFERROR(SUMIFS(Data!$F:$F,Data!$B:$B,"พระราม 3",Data!$A:$A,DATE(2026,5,10)),"—")</f>
        <v/>
      </c>
      <c r="M19" s="136">
        <f>IFERROR(SUMIFS(Data!$F:$F,Data!$B:$B,"พระราม 3",Data!$A:$A,DATE(2026,5,11)),"—")</f>
        <v/>
      </c>
      <c r="N19" s="136">
        <f>IFERROR(SUMIFS(Data!$F:$F,Data!$B:$B,"พระราม 3",Data!$A:$A,DATE(2026,5,12)),"—")</f>
        <v/>
      </c>
      <c r="O19" s="136">
        <f>IFERROR(SUMIFS(Data!$F:$F,Data!$B:$B,"พระราม 3",Data!$A:$A,DATE(2026,5,13)),"—")</f>
        <v/>
      </c>
      <c r="P19" s="136">
        <f>IFERROR(SUMIFS(Data!$F:$F,Data!$B:$B,"พระราม 3",Data!$A:$A,DATE(2026,5,14)),"—")</f>
        <v/>
      </c>
      <c r="Q19" s="136">
        <f>IFERROR(SUMIFS(Data!$F:$F,Data!$B:$B,"พระราม 3",Data!$A:$A,DATE(2026,5,15)),"—")</f>
        <v/>
      </c>
      <c r="R19" s="136">
        <f>IFERROR(SUMIFS(Data!$F:$F,Data!$B:$B,"พระราม 3",Data!$A:$A,DATE(2026,5,16)),"—")</f>
        <v/>
      </c>
      <c r="S19" s="136">
        <f>IFERROR(SUMIFS(Data!$F:$F,Data!$B:$B,"พระราม 3",Data!$A:$A,DATE(2026,5,17)),"—")</f>
        <v/>
      </c>
      <c r="T19" s="136">
        <f>IFERROR(SUMIFS(Data!$F:$F,Data!$B:$B,"พระราม 3",Data!$A:$A,DATE(2026,5,18)),"—")</f>
        <v/>
      </c>
      <c r="U19" s="136">
        <f>IFERROR(SUMIFS(Data!$F:$F,Data!$B:$B,"พระราม 3",Data!$A:$A,DATE(2026,5,19)),"—")</f>
        <v/>
      </c>
      <c r="V19" s="136">
        <f>IFERROR(SUMIFS(Data!$F:$F,Data!$B:$B,"พระราม 3",Data!$A:$A,DATE(2026,5,20)),"—")</f>
        <v/>
      </c>
      <c r="W19" s="136">
        <f>IFERROR(SUMIFS(Data!$F:$F,Data!$B:$B,"พระราม 3",Data!$A:$A,DATE(2026,5,21)),"—")</f>
        <v/>
      </c>
      <c r="X19" s="136">
        <f>IFERROR(SUMIFS(Data!$F:$F,Data!$B:$B,"พระราม 3",Data!$A:$A,DATE(2026,5,22)),"—")</f>
        <v/>
      </c>
      <c r="Y19" s="136">
        <f>IFERROR(SUMIFS(Data!$F:$F,Data!$B:$B,"พระราม 3",Data!$A:$A,DATE(2026,5,23)),"—")</f>
        <v/>
      </c>
      <c r="Z19" s="136">
        <f>IFERROR(SUMIFS(Data!$F:$F,Data!$B:$B,"พระราม 3",Data!$A:$A,DATE(2026,5,24)),"—")</f>
        <v/>
      </c>
      <c r="AA19" s="136">
        <f>IFERROR(SUMIFS(Data!$F:$F,Data!$B:$B,"พระราม 3",Data!$A:$A,DATE(2026,5,25)),"—")</f>
        <v/>
      </c>
      <c r="AB19" s="136">
        <f>IFERROR(SUMIFS(Data!$F:$F,Data!$B:$B,"พระราม 3",Data!$A:$A,DATE(2026,5,26)),"—")</f>
        <v/>
      </c>
      <c r="AC19" s="136">
        <f>IFERROR(SUMIFS(Data!$F:$F,Data!$B:$B,"พระราม 3",Data!$A:$A,DATE(2026,5,27)),"—")</f>
        <v/>
      </c>
      <c r="AD19" s="136">
        <f>IFERROR(SUMIFS(Data!$F:$F,Data!$B:$B,"พระราม 3",Data!$A:$A,DATE(2026,5,28)),"—")</f>
        <v/>
      </c>
      <c r="AE19" s="136">
        <f>IFERROR(SUMIFS(Data!$F:$F,Data!$B:$B,"พระราม 3",Data!$A:$A,DATE(2026,5,29)),"—")</f>
        <v/>
      </c>
      <c r="AF19" s="136">
        <f>IFERROR(SUMIFS(Data!$F:$F,Data!$B:$B,"พระราม 3",Data!$A:$A,DATE(2026,5,30)),"—")</f>
        <v/>
      </c>
      <c r="AG19" s="136">
        <f>IFERROR(SUMIFS(Data!$F:$F,Data!$B:$B,"พระราม 3",Data!$A:$A,DATE(2026,5,31)),"—")</f>
        <v/>
      </c>
      <c r="AH19" s="82">
        <f>IFERROR(SUMIFS(Data!$F:$F,Data!$B:$B,"พระราม 3",Data!$A:$A,"&gt;="&amp;DATE(2026,5,1),Data!$A:$A,"&lt;="&amp;DATE(2026,5,31)),0)</f>
        <v/>
      </c>
      <c r="AK19" s="83">
        <f>IFERROR(SUMIFS(Data!$F:$F,Data!$B:$B,"พระราม 3",Data!$A:$A,"&gt;="&amp;DATE(2026,5,1),Data!$A:$A,"&lt;="&amp;DATE(2026,5,15)),0)</f>
        <v/>
      </c>
      <c r="AL19" s="83">
        <f>IFERROR(SUMIFS(Data!$F:$F,Data!$B:$B,"พระราม 3",Data!$A:$A,"&gt;="&amp;DATE(2026,5,16),Data!$A:$A,"&lt;="&amp;DATE(2026,5,31)),0)</f>
        <v/>
      </c>
      <c r="AM19" s="84">
        <f>AK19*0.9803738318</f>
        <v/>
      </c>
      <c r="AN19" s="84">
        <f>AL19*0.9803738318</f>
        <v/>
      </c>
    </row>
  </sheetData>
  <mergeCells count="2">
    <mergeCell ref="A19:B19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87" min="1" max="1"/>
    <col width="28" customWidth="1" style="87" min="2" max="2"/>
    <col width="7" customWidth="1" style="87" min="3" max="33"/>
    <col width="11" customWidth="1" style="87" min="34" max="34"/>
    <col width="12" customWidth="1" style="87" min="35" max="35"/>
    <col width="11" customWidth="1" style="87" min="36" max="36"/>
    <col width="13" customWidth="1" style="87" min="37" max="38"/>
    <col width="14" customWidth="1" style="87" min="39" max="40"/>
  </cols>
  <sheetData>
    <row r="1" ht="27.75" customHeight="1" s="87">
      <c r="A1" s="115" t="inlineStr">
        <is>
          <t>สาขา แฟชั่น 3 — ยอดขายรายเมนู พฤษภาคม 2569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7" t="n"/>
    </row>
    <row r="2" ht="6" customHeight="1" s="87"/>
    <row r="3" ht="21.75" customHeight="1" s="87">
      <c r="A3" s="107" t="inlineStr">
        <is>
          <t>Item_Code</t>
        </is>
      </c>
      <c r="B3" s="54" t="inlineStr">
        <is>
          <t>ชื่อเมนู</t>
        </is>
      </c>
      <c r="C3" s="63" t="inlineStr">
        <is>
          <t>ศ
1/5</t>
        </is>
      </c>
      <c r="D3" s="63" t="inlineStr">
        <is>
          <t>ส
2/5</t>
        </is>
      </c>
      <c r="E3" s="63" t="inlineStr">
        <is>
          <t>อา
3/5</t>
        </is>
      </c>
      <c r="F3" s="63" t="inlineStr">
        <is>
          <t>จ
4/5</t>
        </is>
      </c>
      <c r="G3" s="63" t="inlineStr">
        <is>
          <t>อ
5/5</t>
        </is>
      </c>
      <c r="H3" s="63" t="inlineStr">
        <is>
          <t>พ
6/5</t>
        </is>
      </c>
      <c r="I3" s="63" t="inlineStr">
        <is>
          <t>พฤ
7/5</t>
        </is>
      </c>
      <c r="J3" s="63" t="inlineStr">
        <is>
          <t>ศ
8/5</t>
        </is>
      </c>
      <c r="K3" s="63" t="inlineStr">
        <is>
          <t>ส
9/5</t>
        </is>
      </c>
      <c r="L3" s="63" t="inlineStr">
        <is>
          <t>อา
10/5</t>
        </is>
      </c>
      <c r="M3" s="63" t="inlineStr">
        <is>
          <t>จ
11/5</t>
        </is>
      </c>
      <c r="N3" s="63" t="inlineStr">
        <is>
          <t>อ
12/5</t>
        </is>
      </c>
      <c r="O3" s="63" t="inlineStr">
        <is>
          <t>พ
13/5</t>
        </is>
      </c>
      <c r="P3" s="63" t="inlineStr">
        <is>
          <t>พฤ
14/5</t>
        </is>
      </c>
      <c r="Q3" s="63" t="inlineStr">
        <is>
          <t>ศ
15/5</t>
        </is>
      </c>
      <c r="R3" s="63" t="inlineStr">
        <is>
          <t>ส
16/5</t>
        </is>
      </c>
      <c r="S3" s="63" t="inlineStr">
        <is>
          <t>อา
17/5</t>
        </is>
      </c>
      <c r="T3" s="63" t="inlineStr">
        <is>
          <t>จ
18/5</t>
        </is>
      </c>
      <c r="U3" s="63" t="inlineStr">
        <is>
          <t>อ
19/5</t>
        </is>
      </c>
      <c r="V3" s="63" t="inlineStr">
        <is>
          <t>พ
20/5</t>
        </is>
      </c>
      <c r="W3" s="63" t="inlineStr">
        <is>
          <t>พฤ
21/5</t>
        </is>
      </c>
      <c r="X3" s="63" t="inlineStr">
        <is>
          <t>ศ
22/5</t>
        </is>
      </c>
      <c r="Y3" s="63" t="inlineStr">
        <is>
          <t>ส
23/5</t>
        </is>
      </c>
      <c r="Z3" s="63" t="inlineStr">
        <is>
          <t>อา
24/5</t>
        </is>
      </c>
      <c r="AA3" s="63" t="inlineStr">
        <is>
          <t>จ
25/5</t>
        </is>
      </c>
      <c r="AB3" s="63" t="inlineStr">
        <is>
          <t>อ
26/5</t>
        </is>
      </c>
      <c r="AC3" s="63" t="inlineStr">
        <is>
          <t>พ
27/5</t>
        </is>
      </c>
      <c r="AD3" s="63" t="inlineStr">
        <is>
          <t>พฤ
28/5</t>
        </is>
      </c>
      <c r="AE3" s="63" t="inlineStr">
        <is>
          <t>ศ
29/5</t>
        </is>
      </c>
      <c r="AF3" s="63" t="inlineStr">
        <is>
          <t>ส
30/5</t>
        </is>
      </c>
      <c r="AG3" s="63" t="inlineStr">
        <is>
          <t>อา
31/5</t>
        </is>
      </c>
      <c r="AH3" s="106" t="inlineStr">
        <is>
          <t>รวม (จาน)</t>
        </is>
      </c>
      <c r="AI3" s="106" t="inlineStr">
        <is>
          <t>รวม (฿)</t>
        </is>
      </c>
      <c r="AJ3" s="106" t="inlineStr">
        <is>
          <t>%</t>
        </is>
      </c>
      <c r="AK3" s="106" t="inlineStr">
        <is>
          <t>ยอดขาย 1-15</t>
        </is>
      </c>
      <c r="AL3" s="106" t="inlineStr">
        <is>
          <t>ยอดขาย 16-31</t>
        </is>
      </c>
      <c r="AM3" s="37" t="inlineStr">
        <is>
          <t>ยอดรับ 1-15</t>
        </is>
      </c>
      <c r="AN3" s="37" t="inlineStr">
        <is>
          <t>ยอดรับ 16-31</t>
        </is>
      </c>
    </row>
    <row r="4" ht="19" customHeight="1" s="87">
      <c r="A4" s="64" t="inlineStr">
        <is>
          <t>FS26-0016</t>
        </is>
      </c>
      <c r="B4" s="65" t="inlineStr">
        <is>
          <t>ข้าวมันสิงคโปร์</t>
        </is>
      </c>
      <c r="C4" s="130">
        <f>IFERROR(SUMIFS(Data!$F:$F,Data!$B:$B,"แฟชั่น 3",Data!$C:$C,"FS26-0016",Data!$A:$A,DATE(2026,5,1)),"")</f>
        <v/>
      </c>
      <c r="D4" s="130">
        <f>IFERROR(SUMIFS(Data!$F:$F,Data!$B:$B,"แฟชั่น 3",Data!$C:$C,"FS26-0016",Data!$A:$A,DATE(2026,5,2)),"")</f>
        <v/>
      </c>
      <c r="E4" s="130">
        <f>IFERROR(SUMIFS(Data!$F:$F,Data!$B:$B,"แฟชั่น 3",Data!$C:$C,"FS26-0016",Data!$A:$A,DATE(2026,5,3)),"")</f>
        <v/>
      </c>
      <c r="F4" s="130">
        <f>IFERROR(SUMIFS(Data!$F:$F,Data!$B:$B,"แฟชั่น 3",Data!$C:$C,"FS26-0016",Data!$A:$A,DATE(2026,5,4)),"")</f>
        <v/>
      </c>
      <c r="G4" s="130">
        <f>IFERROR(SUMIFS(Data!$F:$F,Data!$B:$B,"แฟชั่น 3",Data!$C:$C,"FS26-0016",Data!$A:$A,DATE(2026,5,5)),"")</f>
        <v/>
      </c>
      <c r="H4" s="130">
        <f>IFERROR(SUMIFS(Data!$F:$F,Data!$B:$B,"แฟชั่น 3",Data!$C:$C,"FS26-0016",Data!$A:$A,DATE(2026,5,6)),"")</f>
        <v/>
      </c>
      <c r="I4" s="130">
        <f>IFERROR(SUMIFS(Data!$F:$F,Data!$B:$B,"แฟชั่น 3",Data!$C:$C,"FS26-0016",Data!$A:$A,DATE(2026,5,7)),"")</f>
        <v/>
      </c>
      <c r="J4" s="130">
        <f>IFERROR(SUMIFS(Data!$F:$F,Data!$B:$B,"แฟชั่น 3",Data!$C:$C,"FS26-0016",Data!$A:$A,DATE(2026,5,8)),"")</f>
        <v/>
      </c>
      <c r="K4" s="130">
        <f>IFERROR(SUMIFS(Data!$F:$F,Data!$B:$B,"แฟชั่น 3",Data!$C:$C,"FS26-0016",Data!$A:$A,DATE(2026,5,9)),"")</f>
        <v/>
      </c>
      <c r="L4" s="130">
        <f>IFERROR(SUMIFS(Data!$F:$F,Data!$B:$B,"แฟชั่น 3",Data!$C:$C,"FS26-0016",Data!$A:$A,DATE(2026,5,10)),"")</f>
        <v/>
      </c>
      <c r="M4" s="130">
        <f>IFERROR(SUMIFS(Data!$F:$F,Data!$B:$B,"แฟชั่น 3",Data!$C:$C,"FS26-0016",Data!$A:$A,DATE(2026,5,11)),"")</f>
        <v/>
      </c>
      <c r="N4" s="130">
        <f>IFERROR(SUMIFS(Data!$F:$F,Data!$B:$B,"แฟชั่น 3",Data!$C:$C,"FS26-0016",Data!$A:$A,DATE(2026,5,12)),"")</f>
        <v/>
      </c>
      <c r="O4" s="130">
        <f>IFERROR(SUMIFS(Data!$F:$F,Data!$B:$B,"แฟชั่น 3",Data!$C:$C,"FS26-0016",Data!$A:$A,DATE(2026,5,13)),"")</f>
        <v/>
      </c>
      <c r="P4" s="130">
        <f>IFERROR(SUMIFS(Data!$F:$F,Data!$B:$B,"แฟชั่น 3",Data!$C:$C,"FS26-0016",Data!$A:$A,DATE(2026,5,14)),"")</f>
        <v/>
      </c>
      <c r="Q4" s="130">
        <f>IFERROR(SUMIFS(Data!$F:$F,Data!$B:$B,"แฟชั่น 3",Data!$C:$C,"FS26-0016",Data!$A:$A,DATE(2026,5,15)),"")</f>
        <v/>
      </c>
      <c r="R4" s="130">
        <f>IFERROR(SUMIFS(Data!$F:$F,Data!$B:$B,"แฟชั่น 3",Data!$C:$C,"FS26-0016",Data!$A:$A,DATE(2026,5,16)),"")</f>
        <v/>
      </c>
      <c r="S4" s="130">
        <f>IFERROR(SUMIFS(Data!$F:$F,Data!$B:$B,"แฟชั่น 3",Data!$C:$C,"FS26-0016",Data!$A:$A,DATE(2026,5,17)),"")</f>
        <v/>
      </c>
      <c r="T4" s="130">
        <f>IFERROR(SUMIFS(Data!$F:$F,Data!$B:$B,"แฟชั่น 3",Data!$C:$C,"FS26-0016",Data!$A:$A,DATE(2026,5,18)),"")</f>
        <v/>
      </c>
      <c r="U4" s="130">
        <f>IFERROR(SUMIFS(Data!$F:$F,Data!$B:$B,"แฟชั่น 3",Data!$C:$C,"FS26-0016",Data!$A:$A,DATE(2026,5,19)),"")</f>
        <v/>
      </c>
      <c r="V4" s="130">
        <f>IFERROR(SUMIFS(Data!$F:$F,Data!$B:$B,"แฟชั่น 3",Data!$C:$C,"FS26-0016",Data!$A:$A,DATE(2026,5,20)),"")</f>
        <v/>
      </c>
      <c r="W4" s="130">
        <f>IFERROR(SUMIFS(Data!$F:$F,Data!$B:$B,"แฟชั่น 3",Data!$C:$C,"FS26-0016",Data!$A:$A,DATE(2026,5,21)),"")</f>
        <v/>
      </c>
      <c r="X4" s="130">
        <f>IFERROR(SUMIFS(Data!$F:$F,Data!$B:$B,"แฟชั่น 3",Data!$C:$C,"FS26-0016",Data!$A:$A,DATE(2026,5,22)),"")</f>
        <v/>
      </c>
      <c r="Y4" s="130">
        <f>IFERROR(SUMIFS(Data!$F:$F,Data!$B:$B,"แฟชั่น 3",Data!$C:$C,"FS26-0016",Data!$A:$A,DATE(2026,5,23)),"")</f>
        <v/>
      </c>
      <c r="Z4" s="130">
        <f>IFERROR(SUMIFS(Data!$F:$F,Data!$B:$B,"แฟชั่น 3",Data!$C:$C,"FS26-0016",Data!$A:$A,DATE(2026,5,24)),"")</f>
        <v/>
      </c>
      <c r="AA4" s="130">
        <f>IFERROR(SUMIFS(Data!$F:$F,Data!$B:$B,"แฟชั่น 3",Data!$C:$C,"FS26-0016",Data!$A:$A,DATE(2026,5,25)),"")</f>
        <v/>
      </c>
      <c r="AB4" s="130">
        <f>IFERROR(SUMIFS(Data!$F:$F,Data!$B:$B,"แฟชั่น 3",Data!$C:$C,"FS26-0016",Data!$A:$A,DATE(2026,5,26)),"")</f>
        <v/>
      </c>
      <c r="AC4" s="130">
        <f>IFERROR(SUMIFS(Data!$F:$F,Data!$B:$B,"แฟชั่น 3",Data!$C:$C,"FS26-0016",Data!$A:$A,DATE(2026,5,27)),"")</f>
        <v/>
      </c>
      <c r="AD4" s="130">
        <f>IFERROR(SUMIFS(Data!$F:$F,Data!$B:$B,"แฟชั่น 3",Data!$C:$C,"FS26-0016",Data!$A:$A,DATE(2026,5,28)),"")</f>
        <v/>
      </c>
      <c r="AE4" s="130">
        <f>IFERROR(SUMIFS(Data!$F:$F,Data!$B:$B,"แฟชั่น 3",Data!$C:$C,"FS26-0016",Data!$A:$A,DATE(2026,5,29)),"")</f>
        <v/>
      </c>
      <c r="AF4" s="130">
        <f>IFERROR(SUMIFS(Data!$F:$F,Data!$B:$B,"แฟชั่น 3",Data!$C:$C,"FS26-0016",Data!$A:$A,DATE(2026,5,30)),"")</f>
        <v/>
      </c>
      <c r="AG4" s="130">
        <f>IFERROR(SUMIFS(Data!$F:$F,Data!$B:$B,"แฟชั่น 3",Data!$C:$C,"FS26-0016",Data!$A:$A,DATE(2026,5,31)),"")</f>
        <v/>
      </c>
      <c r="AH4" s="67">
        <f>IFERROR(SUM(C4:AG4),0)</f>
        <v/>
      </c>
      <c r="AI4" s="67">
        <f>AH4*75</f>
        <v/>
      </c>
      <c r="AJ4" s="131">
        <f>IFERROR(AI4/AI27,0)</f>
        <v/>
      </c>
    </row>
    <row r="5" ht="19" customHeight="1" s="87">
      <c r="A5" s="64" t="inlineStr">
        <is>
          <t>FS26-0017</t>
        </is>
      </c>
      <c r="B5" s="65" t="inlineStr">
        <is>
          <t>ข้าวมันไก่ทอด</t>
        </is>
      </c>
      <c r="C5" s="130">
        <f>IFERROR(SUMIFS(Data!$F:$F,Data!$B:$B,"แฟชั่น 3",Data!$C:$C,"FS26-0017",Data!$A:$A,DATE(2026,5,1)),"")</f>
        <v/>
      </c>
      <c r="D5" s="130">
        <f>IFERROR(SUMIFS(Data!$F:$F,Data!$B:$B,"แฟชั่น 3",Data!$C:$C,"FS26-0017",Data!$A:$A,DATE(2026,5,2)),"")</f>
        <v/>
      </c>
      <c r="E5" s="130">
        <f>IFERROR(SUMIFS(Data!$F:$F,Data!$B:$B,"แฟชั่น 3",Data!$C:$C,"FS26-0017",Data!$A:$A,DATE(2026,5,3)),"")</f>
        <v/>
      </c>
      <c r="F5" s="130">
        <f>IFERROR(SUMIFS(Data!$F:$F,Data!$B:$B,"แฟชั่น 3",Data!$C:$C,"FS26-0017",Data!$A:$A,DATE(2026,5,4)),"")</f>
        <v/>
      </c>
      <c r="G5" s="130">
        <f>IFERROR(SUMIFS(Data!$F:$F,Data!$B:$B,"แฟชั่น 3",Data!$C:$C,"FS26-0017",Data!$A:$A,DATE(2026,5,5)),"")</f>
        <v/>
      </c>
      <c r="H5" s="130">
        <f>IFERROR(SUMIFS(Data!$F:$F,Data!$B:$B,"แฟชั่น 3",Data!$C:$C,"FS26-0017",Data!$A:$A,DATE(2026,5,6)),"")</f>
        <v/>
      </c>
      <c r="I5" s="130">
        <f>IFERROR(SUMIFS(Data!$F:$F,Data!$B:$B,"แฟชั่น 3",Data!$C:$C,"FS26-0017",Data!$A:$A,DATE(2026,5,7)),"")</f>
        <v/>
      </c>
      <c r="J5" s="130">
        <f>IFERROR(SUMIFS(Data!$F:$F,Data!$B:$B,"แฟชั่น 3",Data!$C:$C,"FS26-0017",Data!$A:$A,DATE(2026,5,8)),"")</f>
        <v/>
      </c>
      <c r="K5" s="130">
        <f>IFERROR(SUMIFS(Data!$F:$F,Data!$B:$B,"แฟชั่น 3",Data!$C:$C,"FS26-0017",Data!$A:$A,DATE(2026,5,9)),"")</f>
        <v/>
      </c>
      <c r="L5" s="130">
        <f>IFERROR(SUMIFS(Data!$F:$F,Data!$B:$B,"แฟชั่น 3",Data!$C:$C,"FS26-0017",Data!$A:$A,DATE(2026,5,10)),"")</f>
        <v/>
      </c>
      <c r="M5" s="130">
        <f>IFERROR(SUMIFS(Data!$F:$F,Data!$B:$B,"แฟชั่น 3",Data!$C:$C,"FS26-0017",Data!$A:$A,DATE(2026,5,11)),"")</f>
        <v/>
      </c>
      <c r="N5" s="130">
        <f>IFERROR(SUMIFS(Data!$F:$F,Data!$B:$B,"แฟชั่น 3",Data!$C:$C,"FS26-0017",Data!$A:$A,DATE(2026,5,12)),"")</f>
        <v/>
      </c>
      <c r="O5" s="130">
        <f>IFERROR(SUMIFS(Data!$F:$F,Data!$B:$B,"แฟชั่น 3",Data!$C:$C,"FS26-0017",Data!$A:$A,DATE(2026,5,13)),"")</f>
        <v/>
      </c>
      <c r="P5" s="130">
        <f>IFERROR(SUMIFS(Data!$F:$F,Data!$B:$B,"แฟชั่น 3",Data!$C:$C,"FS26-0017",Data!$A:$A,DATE(2026,5,14)),"")</f>
        <v/>
      </c>
      <c r="Q5" s="130">
        <f>IFERROR(SUMIFS(Data!$F:$F,Data!$B:$B,"แฟชั่น 3",Data!$C:$C,"FS26-0017",Data!$A:$A,DATE(2026,5,15)),"")</f>
        <v/>
      </c>
      <c r="R5" s="130">
        <f>IFERROR(SUMIFS(Data!$F:$F,Data!$B:$B,"แฟชั่น 3",Data!$C:$C,"FS26-0017",Data!$A:$A,DATE(2026,5,16)),"")</f>
        <v/>
      </c>
      <c r="S5" s="130">
        <f>IFERROR(SUMIFS(Data!$F:$F,Data!$B:$B,"แฟชั่น 3",Data!$C:$C,"FS26-0017",Data!$A:$A,DATE(2026,5,17)),"")</f>
        <v/>
      </c>
      <c r="T5" s="130">
        <f>IFERROR(SUMIFS(Data!$F:$F,Data!$B:$B,"แฟชั่น 3",Data!$C:$C,"FS26-0017",Data!$A:$A,DATE(2026,5,18)),"")</f>
        <v/>
      </c>
      <c r="U5" s="130">
        <f>IFERROR(SUMIFS(Data!$F:$F,Data!$B:$B,"แฟชั่น 3",Data!$C:$C,"FS26-0017",Data!$A:$A,DATE(2026,5,19)),"")</f>
        <v/>
      </c>
      <c r="V5" s="130">
        <f>IFERROR(SUMIFS(Data!$F:$F,Data!$B:$B,"แฟชั่น 3",Data!$C:$C,"FS26-0017",Data!$A:$A,DATE(2026,5,20)),"")</f>
        <v/>
      </c>
      <c r="W5" s="130">
        <f>IFERROR(SUMIFS(Data!$F:$F,Data!$B:$B,"แฟชั่น 3",Data!$C:$C,"FS26-0017",Data!$A:$A,DATE(2026,5,21)),"")</f>
        <v/>
      </c>
      <c r="X5" s="130">
        <f>IFERROR(SUMIFS(Data!$F:$F,Data!$B:$B,"แฟชั่น 3",Data!$C:$C,"FS26-0017",Data!$A:$A,DATE(2026,5,22)),"")</f>
        <v/>
      </c>
      <c r="Y5" s="130">
        <f>IFERROR(SUMIFS(Data!$F:$F,Data!$B:$B,"แฟชั่น 3",Data!$C:$C,"FS26-0017",Data!$A:$A,DATE(2026,5,23)),"")</f>
        <v/>
      </c>
      <c r="Z5" s="130">
        <f>IFERROR(SUMIFS(Data!$F:$F,Data!$B:$B,"แฟชั่น 3",Data!$C:$C,"FS26-0017",Data!$A:$A,DATE(2026,5,24)),"")</f>
        <v/>
      </c>
      <c r="AA5" s="130">
        <f>IFERROR(SUMIFS(Data!$F:$F,Data!$B:$B,"แฟชั่น 3",Data!$C:$C,"FS26-0017",Data!$A:$A,DATE(2026,5,25)),"")</f>
        <v/>
      </c>
      <c r="AB5" s="130">
        <f>IFERROR(SUMIFS(Data!$F:$F,Data!$B:$B,"แฟชั่น 3",Data!$C:$C,"FS26-0017",Data!$A:$A,DATE(2026,5,26)),"")</f>
        <v/>
      </c>
      <c r="AC5" s="130">
        <f>IFERROR(SUMIFS(Data!$F:$F,Data!$B:$B,"แฟชั่น 3",Data!$C:$C,"FS26-0017",Data!$A:$A,DATE(2026,5,27)),"")</f>
        <v/>
      </c>
      <c r="AD5" s="130">
        <f>IFERROR(SUMIFS(Data!$F:$F,Data!$B:$B,"แฟชั่น 3",Data!$C:$C,"FS26-0017",Data!$A:$A,DATE(2026,5,28)),"")</f>
        <v/>
      </c>
      <c r="AE5" s="130">
        <f>IFERROR(SUMIFS(Data!$F:$F,Data!$B:$B,"แฟชั่น 3",Data!$C:$C,"FS26-0017",Data!$A:$A,DATE(2026,5,29)),"")</f>
        <v/>
      </c>
      <c r="AF5" s="130">
        <f>IFERROR(SUMIFS(Data!$F:$F,Data!$B:$B,"แฟชั่น 3",Data!$C:$C,"FS26-0017",Data!$A:$A,DATE(2026,5,30)),"")</f>
        <v/>
      </c>
      <c r="AG5" s="130">
        <f>IFERROR(SUMIFS(Data!$F:$F,Data!$B:$B,"แฟชั่น 3",Data!$C:$C,"FS26-0017",Data!$A:$A,DATE(2026,5,31)),"")</f>
        <v/>
      </c>
      <c r="AH5" s="67">
        <f>IFERROR(SUM(C5:AG5),0)</f>
        <v/>
      </c>
      <c r="AI5" s="67">
        <f>AH5*60</f>
        <v/>
      </c>
      <c r="AJ5" s="131">
        <f>IFERROR(AI5/AI27,0)</f>
        <v/>
      </c>
    </row>
    <row r="6" ht="19" customHeight="1" s="87">
      <c r="A6" s="69" t="inlineStr">
        <is>
          <t>FS26-0018</t>
        </is>
      </c>
      <c r="B6" s="70" t="inlineStr">
        <is>
          <t>ข้าวมันไก่ทอด พิเศษ</t>
        </is>
      </c>
      <c r="C6" s="132">
        <f>IFERROR(SUMIFS(Data!$F:$F,Data!$B:$B,"แฟชั่น 3",Data!$C:$C,"FS26-0018",Data!$A:$A,DATE(2026,5,1)),"")</f>
        <v/>
      </c>
      <c r="D6" s="132">
        <f>IFERROR(SUMIFS(Data!$F:$F,Data!$B:$B,"แฟชั่น 3",Data!$C:$C,"FS26-0018",Data!$A:$A,DATE(2026,5,2)),"")</f>
        <v/>
      </c>
      <c r="E6" s="132">
        <f>IFERROR(SUMIFS(Data!$F:$F,Data!$B:$B,"แฟชั่น 3",Data!$C:$C,"FS26-0018",Data!$A:$A,DATE(2026,5,3)),"")</f>
        <v/>
      </c>
      <c r="F6" s="132">
        <f>IFERROR(SUMIFS(Data!$F:$F,Data!$B:$B,"แฟชั่น 3",Data!$C:$C,"FS26-0018",Data!$A:$A,DATE(2026,5,4)),"")</f>
        <v/>
      </c>
      <c r="G6" s="132">
        <f>IFERROR(SUMIFS(Data!$F:$F,Data!$B:$B,"แฟชั่น 3",Data!$C:$C,"FS26-0018",Data!$A:$A,DATE(2026,5,5)),"")</f>
        <v/>
      </c>
      <c r="H6" s="132">
        <f>IFERROR(SUMIFS(Data!$F:$F,Data!$B:$B,"แฟชั่น 3",Data!$C:$C,"FS26-0018",Data!$A:$A,DATE(2026,5,6)),"")</f>
        <v/>
      </c>
      <c r="I6" s="132">
        <f>IFERROR(SUMIFS(Data!$F:$F,Data!$B:$B,"แฟชั่น 3",Data!$C:$C,"FS26-0018",Data!$A:$A,DATE(2026,5,7)),"")</f>
        <v/>
      </c>
      <c r="J6" s="132">
        <f>IFERROR(SUMIFS(Data!$F:$F,Data!$B:$B,"แฟชั่น 3",Data!$C:$C,"FS26-0018",Data!$A:$A,DATE(2026,5,8)),"")</f>
        <v/>
      </c>
      <c r="K6" s="132">
        <f>IFERROR(SUMIFS(Data!$F:$F,Data!$B:$B,"แฟชั่น 3",Data!$C:$C,"FS26-0018",Data!$A:$A,DATE(2026,5,9)),"")</f>
        <v/>
      </c>
      <c r="L6" s="132">
        <f>IFERROR(SUMIFS(Data!$F:$F,Data!$B:$B,"แฟชั่น 3",Data!$C:$C,"FS26-0018",Data!$A:$A,DATE(2026,5,10)),"")</f>
        <v/>
      </c>
      <c r="M6" s="132">
        <f>IFERROR(SUMIFS(Data!$F:$F,Data!$B:$B,"แฟชั่น 3",Data!$C:$C,"FS26-0018",Data!$A:$A,DATE(2026,5,11)),"")</f>
        <v/>
      </c>
      <c r="N6" s="132">
        <f>IFERROR(SUMIFS(Data!$F:$F,Data!$B:$B,"แฟชั่น 3",Data!$C:$C,"FS26-0018",Data!$A:$A,DATE(2026,5,12)),"")</f>
        <v/>
      </c>
      <c r="O6" s="132">
        <f>IFERROR(SUMIFS(Data!$F:$F,Data!$B:$B,"แฟชั่น 3",Data!$C:$C,"FS26-0018",Data!$A:$A,DATE(2026,5,13)),"")</f>
        <v/>
      </c>
      <c r="P6" s="132">
        <f>IFERROR(SUMIFS(Data!$F:$F,Data!$B:$B,"แฟชั่น 3",Data!$C:$C,"FS26-0018",Data!$A:$A,DATE(2026,5,14)),"")</f>
        <v/>
      </c>
      <c r="Q6" s="132">
        <f>IFERROR(SUMIFS(Data!$F:$F,Data!$B:$B,"แฟชั่น 3",Data!$C:$C,"FS26-0018",Data!$A:$A,DATE(2026,5,15)),"")</f>
        <v/>
      </c>
      <c r="R6" s="132">
        <f>IFERROR(SUMIFS(Data!$F:$F,Data!$B:$B,"แฟชั่น 3",Data!$C:$C,"FS26-0018",Data!$A:$A,DATE(2026,5,16)),"")</f>
        <v/>
      </c>
      <c r="S6" s="132">
        <f>IFERROR(SUMIFS(Data!$F:$F,Data!$B:$B,"แฟชั่น 3",Data!$C:$C,"FS26-0018",Data!$A:$A,DATE(2026,5,17)),"")</f>
        <v/>
      </c>
      <c r="T6" s="132">
        <f>IFERROR(SUMIFS(Data!$F:$F,Data!$B:$B,"แฟชั่น 3",Data!$C:$C,"FS26-0018",Data!$A:$A,DATE(2026,5,18)),"")</f>
        <v/>
      </c>
      <c r="U6" s="132">
        <f>IFERROR(SUMIFS(Data!$F:$F,Data!$B:$B,"แฟชั่น 3",Data!$C:$C,"FS26-0018",Data!$A:$A,DATE(2026,5,19)),"")</f>
        <v/>
      </c>
      <c r="V6" s="132">
        <f>IFERROR(SUMIFS(Data!$F:$F,Data!$B:$B,"แฟชั่น 3",Data!$C:$C,"FS26-0018",Data!$A:$A,DATE(2026,5,20)),"")</f>
        <v/>
      </c>
      <c r="W6" s="132">
        <f>IFERROR(SUMIFS(Data!$F:$F,Data!$B:$B,"แฟชั่น 3",Data!$C:$C,"FS26-0018",Data!$A:$A,DATE(2026,5,21)),"")</f>
        <v/>
      </c>
      <c r="X6" s="132">
        <f>IFERROR(SUMIFS(Data!$F:$F,Data!$B:$B,"แฟชั่น 3",Data!$C:$C,"FS26-0018",Data!$A:$A,DATE(2026,5,22)),"")</f>
        <v/>
      </c>
      <c r="Y6" s="132">
        <f>IFERROR(SUMIFS(Data!$F:$F,Data!$B:$B,"แฟชั่น 3",Data!$C:$C,"FS26-0018",Data!$A:$A,DATE(2026,5,23)),"")</f>
        <v/>
      </c>
      <c r="Z6" s="132">
        <f>IFERROR(SUMIFS(Data!$F:$F,Data!$B:$B,"แฟชั่น 3",Data!$C:$C,"FS26-0018",Data!$A:$A,DATE(2026,5,24)),"")</f>
        <v/>
      </c>
      <c r="AA6" s="132">
        <f>IFERROR(SUMIFS(Data!$F:$F,Data!$B:$B,"แฟชั่น 3",Data!$C:$C,"FS26-0018",Data!$A:$A,DATE(2026,5,25)),"")</f>
        <v/>
      </c>
      <c r="AB6" s="132">
        <f>IFERROR(SUMIFS(Data!$F:$F,Data!$B:$B,"แฟชั่น 3",Data!$C:$C,"FS26-0018",Data!$A:$A,DATE(2026,5,26)),"")</f>
        <v/>
      </c>
      <c r="AC6" s="132">
        <f>IFERROR(SUMIFS(Data!$F:$F,Data!$B:$B,"แฟชั่น 3",Data!$C:$C,"FS26-0018",Data!$A:$A,DATE(2026,5,27)),"")</f>
        <v/>
      </c>
      <c r="AD6" s="132">
        <f>IFERROR(SUMIFS(Data!$F:$F,Data!$B:$B,"แฟชั่น 3",Data!$C:$C,"FS26-0018",Data!$A:$A,DATE(2026,5,28)),"")</f>
        <v/>
      </c>
      <c r="AE6" s="132">
        <f>IFERROR(SUMIFS(Data!$F:$F,Data!$B:$B,"แฟชั่น 3",Data!$C:$C,"FS26-0018",Data!$A:$A,DATE(2026,5,29)),"")</f>
        <v/>
      </c>
      <c r="AF6" s="132">
        <f>IFERROR(SUMIFS(Data!$F:$F,Data!$B:$B,"แฟชั่น 3",Data!$C:$C,"FS26-0018",Data!$A:$A,DATE(2026,5,30)),"")</f>
        <v/>
      </c>
      <c r="AG6" s="132">
        <f>IFERROR(SUMIFS(Data!$F:$F,Data!$B:$B,"แฟชั่น 3",Data!$C:$C,"FS26-0018",Data!$A:$A,DATE(2026,5,31)),"")</f>
        <v/>
      </c>
      <c r="AH6" s="72">
        <f>IFERROR(SUM(C6:AG6),0)</f>
        <v/>
      </c>
      <c r="AI6" s="72">
        <f>AH6*70</f>
        <v/>
      </c>
      <c r="AJ6" s="133">
        <f>IFERROR(AI6/AI27,0)</f>
        <v/>
      </c>
    </row>
    <row r="7" ht="19" customHeight="1" s="87">
      <c r="A7" s="74" t="inlineStr">
        <is>
          <t>FS26-0019</t>
        </is>
      </c>
      <c r="B7" s="75" t="inlineStr">
        <is>
          <t>ไก่ทอดสับ</t>
        </is>
      </c>
      <c r="C7" s="134">
        <f>IFERROR(SUMIFS(Data!$F:$F,Data!$B:$B,"แฟชั่น 3",Data!$C:$C,"FS26-0019",Data!$A:$A,DATE(2026,5,1)),"")</f>
        <v/>
      </c>
      <c r="D7" s="134">
        <f>IFERROR(SUMIFS(Data!$F:$F,Data!$B:$B,"แฟชั่น 3",Data!$C:$C,"FS26-0019",Data!$A:$A,DATE(2026,5,2)),"")</f>
        <v/>
      </c>
      <c r="E7" s="134">
        <f>IFERROR(SUMIFS(Data!$F:$F,Data!$B:$B,"แฟชั่น 3",Data!$C:$C,"FS26-0019",Data!$A:$A,DATE(2026,5,3)),"")</f>
        <v/>
      </c>
      <c r="F7" s="134">
        <f>IFERROR(SUMIFS(Data!$F:$F,Data!$B:$B,"แฟชั่น 3",Data!$C:$C,"FS26-0019",Data!$A:$A,DATE(2026,5,4)),"")</f>
        <v/>
      </c>
      <c r="G7" s="134">
        <f>IFERROR(SUMIFS(Data!$F:$F,Data!$B:$B,"แฟชั่น 3",Data!$C:$C,"FS26-0019",Data!$A:$A,DATE(2026,5,5)),"")</f>
        <v/>
      </c>
      <c r="H7" s="134">
        <f>IFERROR(SUMIFS(Data!$F:$F,Data!$B:$B,"แฟชั่น 3",Data!$C:$C,"FS26-0019",Data!$A:$A,DATE(2026,5,6)),"")</f>
        <v/>
      </c>
      <c r="I7" s="134">
        <f>IFERROR(SUMIFS(Data!$F:$F,Data!$B:$B,"แฟชั่น 3",Data!$C:$C,"FS26-0019",Data!$A:$A,DATE(2026,5,7)),"")</f>
        <v/>
      </c>
      <c r="J7" s="134">
        <f>IFERROR(SUMIFS(Data!$F:$F,Data!$B:$B,"แฟชั่น 3",Data!$C:$C,"FS26-0019",Data!$A:$A,DATE(2026,5,8)),"")</f>
        <v/>
      </c>
      <c r="K7" s="134">
        <f>IFERROR(SUMIFS(Data!$F:$F,Data!$B:$B,"แฟชั่น 3",Data!$C:$C,"FS26-0019",Data!$A:$A,DATE(2026,5,9)),"")</f>
        <v/>
      </c>
      <c r="L7" s="134">
        <f>IFERROR(SUMIFS(Data!$F:$F,Data!$B:$B,"แฟชั่น 3",Data!$C:$C,"FS26-0019",Data!$A:$A,DATE(2026,5,10)),"")</f>
        <v/>
      </c>
      <c r="M7" s="134">
        <f>IFERROR(SUMIFS(Data!$F:$F,Data!$B:$B,"แฟชั่น 3",Data!$C:$C,"FS26-0019",Data!$A:$A,DATE(2026,5,11)),"")</f>
        <v/>
      </c>
      <c r="N7" s="134">
        <f>IFERROR(SUMIFS(Data!$F:$F,Data!$B:$B,"แฟชั่น 3",Data!$C:$C,"FS26-0019",Data!$A:$A,DATE(2026,5,12)),"")</f>
        <v/>
      </c>
      <c r="O7" s="134">
        <f>IFERROR(SUMIFS(Data!$F:$F,Data!$B:$B,"แฟชั่น 3",Data!$C:$C,"FS26-0019",Data!$A:$A,DATE(2026,5,13)),"")</f>
        <v/>
      </c>
      <c r="P7" s="134">
        <f>IFERROR(SUMIFS(Data!$F:$F,Data!$B:$B,"แฟชั่น 3",Data!$C:$C,"FS26-0019",Data!$A:$A,DATE(2026,5,14)),"")</f>
        <v/>
      </c>
      <c r="Q7" s="134">
        <f>IFERROR(SUMIFS(Data!$F:$F,Data!$B:$B,"แฟชั่น 3",Data!$C:$C,"FS26-0019",Data!$A:$A,DATE(2026,5,15)),"")</f>
        <v/>
      </c>
      <c r="R7" s="134">
        <f>IFERROR(SUMIFS(Data!$F:$F,Data!$B:$B,"แฟชั่น 3",Data!$C:$C,"FS26-0019",Data!$A:$A,DATE(2026,5,16)),"")</f>
        <v/>
      </c>
      <c r="S7" s="134">
        <f>IFERROR(SUMIFS(Data!$F:$F,Data!$B:$B,"แฟชั่น 3",Data!$C:$C,"FS26-0019",Data!$A:$A,DATE(2026,5,17)),"")</f>
        <v/>
      </c>
      <c r="T7" s="134">
        <f>IFERROR(SUMIFS(Data!$F:$F,Data!$B:$B,"แฟชั่น 3",Data!$C:$C,"FS26-0019",Data!$A:$A,DATE(2026,5,18)),"")</f>
        <v/>
      </c>
      <c r="U7" s="134">
        <f>IFERROR(SUMIFS(Data!$F:$F,Data!$B:$B,"แฟชั่น 3",Data!$C:$C,"FS26-0019",Data!$A:$A,DATE(2026,5,19)),"")</f>
        <v/>
      </c>
      <c r="V7" s="134">
        <f>IFERROR(SUMIFS(Data!$F:$F,Data!$B:$B,"แฟชั่น 3",Data!$C:$C,"FS26-0019",Data!$A:$A,DATE(2026,5,20)),"")</f>
        <v/>
      </c>
      <c r="W7" s="134">
        <f>IFERROR(SUMIFS(Data!$F:$F,Data!$B:$B,"แฟชั่น 3",Data!$C:$C,"FS26-0019",Data!$A:$A,DATE(2026,5,21)),"")</f>
        <v/>
      </c>
      <c r="X7" s="134">
        <f>IFERROR(SUMIFS(Data!$F:$F,Data!$B:$B,"แฟชั่น 3",Data!$C:$C,"FS26-0019",Data!$A:$A,DATE(2026,5,22)),"")</f>
        <v/>
      </c>
      <c r="Y7" s="134">
        <f>IFERROR(SUMIFS(Data!$F:$F,Data!$B:$B,"แฟชั่น 3",Data!$C:$C,"FS26-0019",Data!$A:$A,DATE(2026,5,23)),"")</f>
        <v/>
      </c>
      <c r="Z7" s="134">
        <f>IFERROR(SUMIFS(Data!$F:$F,Data!$B:$B,"แฟชั่น 3",Data!$C:$C,"FS26-0019",Data!$A:$A,DATE(2026,5,24)),"")</f>
        <v/>
      </c>
      <c r="AA7" s="134">
        <f>IFERROR(SUMIFS(Data!$F:$F,Data!$B:$B,"แฟชั่น 3",Data!$C:$C,"FS26-0019",Data!$A:$A,DATE(2026,5,25)),"")</f>
        <v/>
      </c>
      <c r="AB7" s="134">
        <f>IFERROR(SUMIFS(Data!$F:$F,Data!$B:$B,"แฟชั่น 3",Data!$C:$C,"FS26-0019",Data!$A:$A,DATE(2026,5,26)),"")</f>
        <v/>
      </c>
      <c r="AC7" s="134">
        <f>IFERROR(SUMIFS(Data!$F:$F,Data!$B:$B,"แฟชั่น 3",Data!$C:$C,"FS26-0019",Data!$A:$A,DATE(2026,5,27)),"")</f>
        <v/>
      </c>
      <c r="AD7" s="134">
        <f>IFERROR(SUMIFS(Data!$F:$F,Data!$B:$B,"แฟชั่น 3",Data!$C:$C,"FS26-0019",Data!$A:$A,DATE(2026,5,28)),"")</f>
        <v/>
      </c>
      <c r="AE7" s="134">
        <f>IFERROR(SUMIFS(Data!$F:$F,Data!$B:$B,"แฟชั่น 3",Data!$C:$C,"FS26-0019",Data!$A:$A,DATE(2026,5,29)),"")</f>
        <v/>
      </c>
      <c r="AF7" s="134">
        <f>IFERROR(SUMIFS(Data!$F:$F,Data!$B:$B,"แฟชั่น 3",Data!$C:$C,"FS26-0019",Data!$A:$A,DATE(2026,5,30)),"")</f>
        <v/>
      </c>
      <c r="AG7" s="134">
        <f>IFERROR(SUMIFS(Data!$F:$F,Data!$B:$B,"แฟชั่น 3",Data!$C:$C,"FS26-0019",Data!$A:$A,DATE(2026,5,31)),"")</f>
        <v/>
      </c>
      <c r="AH7" s="77">
        <f>IFERROR(SUM(C7:AG7),0)</f>
        <v/>
      </c>
      <c r="AI7" s="77">
        <f>AH7*60</f>
        <v/>
      </c>
      <c r="AJ7" s="135">
        <f>IFERROR(AI7/AI27,0)</f>
        <v/>
      </c>
    </row>
    <row r="8" ht="19" customHeight="1" s="87">
      <c r="A8" s="69" t="inlineStr">
        <is>
          <t>FS26-0020</t>
        </is>
      </c>
      <c r="B8" s="70" t="inlineStr">
        <is>
          <t>ไก่ต้มสับ</t>
        </is>
      </c>
      <c r="C8" s="132">
        <f>IFERROR(SUMIFS(Data!$F:$F,Data!$B:$B,"แฟชั่น 3",Data!$C:$C,"FS26-0020",Data!$A:$A,DATE(2026,5,1)),"")</f>
        <v/>
      </c>
      <c r="D8" s="132">
        <f>IFERROR(SUMIFS(Data!$F:$F,Data!$B:$B,"แฟชั่น 3",Data!$C:$C,"FS26-0020",Data!$A:$A,DATE(2026,5,2)),"")</f>
        <v/>
      </c>
      <c r="E8" s="132">
        <f>IFERROR(SUMIFS(Data!$F:$F,Data!$B:$B,"แฟชั่น 3",Data!$C:$C,"FS26-0020",Data!$A:$A,DATE(2026,5,3)),"")</f>
        <v/>
      </c>
      <c r="F8" s="132">
        <f>IFERROR(SUMIFS(Data!$F:$F,Data!$B:$B,"แฟชั่น 3",Data!$C:$C,"FS26-0020",Data!$A:$A,DATE(2026,5,4)),"")</f>
        <v/>
      </c>
      <c r="G8" s="132">
        <f>IFERROR(SUMIFS(Data!$F:$F,Data!$B:$B,"แฟชั่น 3",Data!$C:$C,"FS26-0020",Data!$A:$A,DATE(2026,5,5)),"")</f>
        <v/>
      </c>
      <c r="H8" s="132">
        <f>IFERROR(SUMIFS(Data!$F:$F,Data!$B:$B,"แฟชั่น 3",Data!$C:$C,"FS26-0020",Data!$A:$A,DATE(2026,5,6)),"")</f>
        <v/>
      </c>
      <c r="I8" s="132">
        <f>IFERROR(SUMIFS(Data!$F:$F,Data!$B:$B,"แฟชั่น 3",Data!$C:$C,"FS26-0020",Data!$A:$A,DATE(2026,5,7)),"")</f>
        <v/>
      </c>
      <c r="J8" s="132">
        <f>IFERROR(SUMIFS(Data!$F:$F,Data!$B:$B,"แฟชั่น 3",Data!$C:$C,"FS26-0020",Data!$A:$A,DATE(2026,5,8)),"")</f>
        <v/>
      </c>
      <c r="K8" s="132">
        <f>IFERROR(SUMIFS(Data!$F:$F,Data!$B:$B,"แฟชั่น 3",Data!$C:$C,"FS26-0020",Data!$A:$A,DATE(2026,5,9)),"")</f>
        <v/>
      </c>
      <c r="L8" s="132">
        <f>IFERROR(SUMIFS(Data!$F:$F,Data!$B:$B,"แฟชั่น 3",Data!$C:$C,"FS26-0020",Data!$A:$A,DATE(2026,5,10)),"")</f>
        <v/>
      </c>
      <c r="M8" s="132">
        <f>IFERROR(SUMIFS(Data!$F:$F,Data!$B:$B,"แฟชั่น 3",Data!$C:$C,"FS26-0020",Data!$A:$A,DATE(2026,5,11)),"")</f>
        <v/>
      </c>
      <c r="N8" s="132">
        <f>IFERROR(SUMIFS(Data!$F:$F,Data!$B:$B,"แฟชั่น 3",Data!$C:$C,"FS26-0020",Data!$A:$A,DATE(2026,5,12)),"")</f>
        <v/>
      </c>
      <c r="O8" s="132">
        <f>IFERROR(SUMIFS(Data!$F:$F,Data!$B:$B,"แฟชั่น 3",Data!$C:$C,"FS26-0020",Data!$A:$A,DATE(2026,5,13)),"")</f>
        <v/>
      </c>
      <c r="P8" s="132">
        <f>IFERROR(SUMIFS(Data!$F:$F,Data!$B:$B,"แฟชั่น 3",Data!$C:$C,"FS26-0020",Data!$A:$A,DATE(2026,5,14)),"")</f>
        <v/>
      </c>
      <c r="Q8" s="132">
        <f>IFERROR(SUMIFS(Data!$F:$F,Data!$B:$B,"แฟชั่น 3",Data!$C:$C,"FS26-0020",Data!$A:$A,DATE(2026,5,15)),"")</f>
        <v/>
      </c>
      <c r="R8" s="132">
        <f>IFERROR(SUMIFS(Data!$F:$F,Data!$B:$B,"แฟชั่น 3",Data!$C:$C,"FS26-0020",Data!$A:$A,DATE(2026,5,16)),"")</f>
        <v/>
      </c>
      <c r="S8" s="132">
        <f>IFERROR(SUMIFS(Data!$F:$F,Data!$B:$B,"แฟชั่น 3",Data!$C:$C,"FS26-0020",Data!$A:$A,DATE(2026,5,17)),"")</f>
        <v/>
      </c>
      <c r="T8" s="132">
        <f>IFERROR(SUMIFS(Data!$F:$F,Data!$B:$B,"แฟชั่น 3",Data!$C:$C,"FS26-0020",Data!$A:$A,DATE(2026,5,18)),"")</f>
        <v/>
      </c>
      <c r="U8" s="132">
        <f>IFERROR(SUMIFS(Data!$F:$F,Data!$B:$B,"แฟชั่น 3",Data!$C:$C,"FS26-0020",Data!$A:$A,DATE(2026,5,19)),"")</f>
        <v/>
      </c>
      <c r="V8" s="132">
        <f>IFERROR(SUMIFS(Data!$F:$F,Data!$B:$B,"แฟชั่น 3",Data!$C:$C,"FS26-0020",Data!$A:$A,DATE(2026,5,20)),"")</f>
        <v/>
      </c>
      <c r="W8" s="132">
        <f>IFERROR(SUMIFS(Data!$F:$F,Data!$B:$B,"แฟชั่น 3",Data!$C:$C,"FS26-0020",Data!$A:$A,DATE(2026,5,21)),"")</f>
        <v/>
      </c>
      <c r="X8" s="132">
        <f>IFERROR(SUMIFS(Data!$F:$F,Data!$B:$B,"แฟชั่น 3",Data!$C:$C,"FS26-0020",Data!$A:$A,DATE(2026,5,22)),"")</f>
        <v/>
      </c>
      <c r="Y8" s="132">
        <f>IFERROR(SUMIFS(Data!$F:$F,Data!$B:$B,"แฟชั่น 3",Data!$C:$C,"FS26-0020",Data!$A:$A,DATE(2026,5,23)),"")</f>
        <v/>
      </c>
      <c r="Z8" s="132">
        <f>IFERROR(SUMIFS(Data!$F:$F,Data!$B:$B,"แฟชั่น 3",Data!$C:$C,"FS26-0020",Data!$A:$A,DATE(2026,5,24)),"")</f>
        <v/>
      </c>
      <c r="AA8" s="132">
        <f>IFERROR(SUMIFS(Data!$F:$F,Data!$B:$B,"แฟชั่น 3",Data!$C:$C,"FS26-0020",Data!$A:$A,DATE(2026,5,25)),"")</f>
        <v/>
      </c>
      <c r="AB8" s="132">
        <f>IFERROR(SUMIFS(Data!$F:$F,Data!$B:$B,"แฟชั่น 3",Data!$C:$C,"FS26-0020",Data!$A:$A,DATE(2026,5,26)),"")</f>
        <v/>
      </c>
      <c r="AC8" s="132">
        <f>IFERROR(SUMIFS(Data!$F:$F,Data!$B:$B,"แฟชั่น 3",Data!$C:$C,"FS26-0020",Data!$A:$A,DATE(2026,5,27)),"")</f>
        <v/>
      </c>
      <c r="AD8" s="132">
        <f>IFERROR(SUMIFS(Data!$F:$F,Data!$B:$B,"แฟชั่น 3",Data!$C:$C,"FS26-0020",Data!$A:$A,DATE(2026,5,28)),"")</f>
        <v/>
      </c>
      <c r="AE8" s="132">
        <f>IFERROR(SUMIFS(Data!$F:$F,Data!$B:$B,"แฟชั่น 3",Data!$C:$C,"FS26-0020",Data!$A:$A,DATE(2026,5,29)),"")</f>
        <v/>
      </c>
      <c r="AF8" s="132">
        <f>IFERROR(SUMIFS(Data!$F:$F,Data!$B:$B,"แฟชั่น 3",Data!$C:$C,"FS26-0020",Data!$A:$A,DATE(2026,5,30)),"")</f>
        <v/>
      </c>
      <c r="AG8" s="132">
        <f>IFERROR(SUMIFS(Data!$F:$F,Data!$B:$B,"แฟชั่น 3",Data!$C:$C,"FS26-0020",Data!$A:$A,DATE(2026,5,31)),"")</f>
        <v/>
      </c>
      <c r="AH8" s="72">
        <f>IFERROR(SUM(C8:AG8),0)</f>
        <v/>
      </c>
      <c r="AI8" s="72">
        <f>AH8*60</f>
        <v/>
      </c>
      <c r="AJ8" s="133">
        <f>IFERROR(AI8/AI27,0)</f>
        <v/>
      </c>
    </row>
    <row r="9" ht="19" customHeight="1" s="87">
      <c r="A9" s="74" t="inlineStr">
        <is>
          <t>FS26-0021</t>
        </is>
      </c>
      <c r="B9" s="75" t="inlineStr">
        <is>
          <t>ข้าวมันตับนุ่ม</t>
        </is>
      </c>
      <c r="C9" s="134">
        <f>IFERROR(SUMIFS(Data!$F:$F,Data!$B:$B,"แฟชั่น 3",Data!$C:$C,"FS26-0021",Data!$A:$A,DATE(2026,5,1)),"")</f>
        <v/>
      </c>
      <c r="D9" s="134">
        <f>IFERROR(SUMIFS(Data!$F:$F,Data!$B:$B,"แฟชั่น 3",Data!$C:$C,"FS26-0021",Data!$A:$A,DATE(2026,5,2)),"")</f>
        <v/>
      </c>
      <c r="E9" s="134">
        <f>IFERROR(SUMIFS(Data!$F:$F,Data!$B:$B,"แฟชั่น 3",Data!$C:$C,"FS26-0021",Data!$A:$A,DATE(2026,5,3)),"")</f>
        <v/>
      </c>
      <c r="F9" s="134">
        <f>IFERROR(SUMIFS(Data!$F:$F,Data!$B:$B,"แฟชั่น 3",Data!$C:$C,"FS26-0021",Data!$A:$A,DATE(2026,5,4)),"")</f>
        <v/>
      </c>
      <c r="G9" s="134">
        <f>IFERROR(SUMIFS(Data!$F:$F,Data!$B:$B,"แฟชั่น 3",Data!$C:$C,"FS26-0021",Data!$A:$A,DATE(2026,5,5)),"")</f>
        <v/>
      </c>
      <c r="H9" s="134">
        <f>IFERROR(SUMIFS(Data!$F:$F,Data!$B:$B,"แฟชั่น 3",Data!$C:$C,"FS26-0021",Data!$A:$A,DATE(2026,5,6)),"")</f>
        <v/>
      </c>
      <c r="I9" s="134">
        <f>IFERROR(SUMIFS(Data!$F:$F,Data!$B:$B,"แฟชั่น 3",Data!$C:$C,"FS26-0021",Data!$A:$A,DATE(2026,5,7)),"")</f>
        <v/>
      </c>
      <c r="J9" s="134">
        <f>IFERROR(SUMIFS(Data!$F:$F,Data!$B:$B,"แฟชั่น 3",Data!$C:$C,"FS26-0021",Data!$A:$A,DATE(2026,5,8)),"")</f>
        <v/>
      </c>
      <c r="K9" s="134">
        <f>IFERROR(SUMIFS(Data!$F:$F,Data!$B:$B,"แฟชั่น 3",Data!$C:$C,"FS26-0021",Data!$A:$A,DATE(2026,5,9)),"")</f>
        <v/>
      </c>
      <c r="L9" s="134">
        <f>IFERROR(SUMIFS(Data!$F:$F,Data!$B:$B,"แฟชั่น 3",Data!$C:$C,"FS26-0021",Data!$A:$A,DATE(2026,5,10)),"")</f>
        <v/>
      </c>
      <c r="M9" s="134">
        <f>IFERROR(SUMIFS(Data!$F:$F,Data!$B:$B,"แฟชั่น 3",Data!$C:$C,"FS26-0021",Data!$A:$A,DATE(2026,5,11)),"")</f>
        <v/>
      </c>
      <c r="N9" s="134">
        <f>IFERROR(SUMIFS(Data!$F:$F,Data!$B:$B,"แฟชั่น 3",Data!$C:$C,"FS26-0021",Data!$A:$A,DATE(2026,5,12)),"")</f>
        <v/>
      </c>
      <c r="O9" s="134">
        <f>IFERROR(SUMIFS(Data!$F:$F,Data!$B:$B,"แฟชั่น 3",Data!$C:$C,"FS26-0021",Data!$A:$A,DATE(2026,5,13)),"")</f>
        <v/>
      </c>
      <c r="P9" s="134">
        <f>IFERROR(SUMIFS(Data!$F:$F,Data!$B:$B,"แฟชั่น 3",Data!$C:$C,"FS26-0021",Data!$A:$A,DATE(2026,5,14)),"")</f>
        <v/>
      </c>
      <c r="Q9" s="134">
        <f>IFERROR(SUMIFS(Data!$F:$F,Data!$B:$B,"แฟชั่น 3",Data!$C:$C,"FS26-0021",Data!$A:$A,DATE(2026,5,15)),"")</f>
        <v/>
      </c>
      <c r="R9" s="134">
        <f>IFERROR(SUMIFS(Data!$F:$F,Data!$B:$B,"แฟชั่น 3",Data!$C:$C,"FS26-0021",Data!$A:$A,DATE(2026,5,16)),"")</f>
        <v/>
      </c>
      <c r="S9" s="134">
        <f>IFERROR(SUMIFS(Data!$F:$F,Data!$B:$B,"แฟชั่น 3",Data!$C:$C,"FS26-0021",Data!$A:$A,DATE(2026,5,17)),"")</f>
        <v/>
      </c>
      <c r="T9" s="134">
        <f>IFERROR(SUMIFS(Data!$F:$F,Data!$B:$B,"แฟชั่น 3",Data!$C:$C,"FS26-0021",Data!$A:$A,DATE(2026,5,18)),"")</f>
        <v/>
      </c>
      <c r="U9" s="134">
        <f>IFERROR(SUMIFS(Data!$F:$F,Data!$B:$B,"แฟชั่น 3",Data!$C:$C,"FS26-0021",Data!$A:$A,DATE(2026,5,19)),"")</f>
        <v/>
      </c>
      <c r="V9" s="134">
        <f>IFERROR(SUMIFS(Data!$F:$F,Data!$B:$B,"แฟชั่น 3",Data!$C:$C,"FS26-0021",Data!$A:$A,DATE(2026,5,20)),"")</f>
        <v/>
      </c>
      <c r="W9" s="134">
        <f>IFERROR(SUMIFS(Data!$F:$F,Data!$B:$B,"แฟชั่น 3",Data!$C:$C,"FS26-0021",Data!$A:$A,DATE(2026,5,21)),"")</f>
        <v/>
      </c>
      <c r="X9" s="134">
        <f>IFERROR(SUMIFS(Data!$F:$F,Data!$B:$B,"แฟชั่น 3",Data!$C:$C,"FS26-0021",Data!$A:$A,DATE(2026,5,22)),"")</f>
        <v/>
      </c>
      <c r="Y9" s="134">
        <f>IFERROR(SUMIFS(Data!$F:$F,Data!$B:$B,"แฟชั่น 3",Data!$C:$C,"FS26-0021",Data!$A:$A,DATE(2026,5,23)),"")</f>
        <v/>
      </c>
      <c r="Z9" s="134">
        <f>IFERROR(SUMIFS(Data!$F:$F,Data!$B:$B,"แฟชั่น 3",Data!$C:$C,"FS26-0021",Data!$A:$A,DATE(2026,5,24)),"")</f>
        <v/>
      </c>
      <c r="AA9" s="134">
        <f>IFERROR(SUMIFS(Data!$F:$F,Data!$B:$B,"แฟชั่น 3",Data!$C:$C,"FS26-0021",Data!$A:$A,DATE(2026,5,25)),"")</f>
        <v/>
      </c>
      <c r="AB9" s="134">
        <f>IFERROR(SUMIFS(Data!$F:$F,Data!$B:$B,"แฟชั่น 3",Data!$C:$C,"FS26-0021",Data!$A:$A,DATE(2026,5,26)),"")</f>
        <v/>
      </c>
      <c r="AC9" s="134">
        <f>IFERROR(SUMIFS(Data!$F:$F,Data!$B:$B,"แฟชั่น 3",Data!$C:$C,"FS26-0021",Data!$A:$A,DATE(2026,5,27)),"")</f>
        <v/>
      </c>
      <c r="AD9" s="134">
        <f>IFERROR(SUMIFS(Data!$F:$F,Data!$B:$B,"แฟชั่น 3",Data!$C:$C,"FS26-0021",Data!$A:$A,DATE(2026,5,28)),"")</f>
        <v/>
      </c>
      <c r="AE9" s="134">
        <f>IFERROR(SUMIFS(Data!$F:$F,Data!$B:$B,"แฟชั่น 3",Data!$C:$C,"FS26-0021",Data!$A:$A,DATE(2026,5,29)),"")</f>
        <v/>
      </c>
      <c r="AF9" s="134">
        <f>IFERROR(SUMIFS(Data!$F:$F,Data!$B:$B,"แฟชั่น 3",Data!$C:$C,"FS26-0021",Data!$A:$A,DATE(2026,5,30)),"")</f>
        <v/>
      </c>
      <c r="AG9" s="134">
        <f>IFERROR(SUMIFS(Data!$F:$F,Data!$B:$B,"แฟชั่น 3",Data!$C:$C,"FS26-0021",Data!$A:$A,DATE(2026,5,31)),"")</f>
        <v/>
      </c>
      <c r="AH9" s="77">
        <f>IFERROR(SUM(C9:AG9),0)</f>
        <v/>
      </c>
      <c r="AI9" s="77">
        <f>AH9*60</f>
        <v/>
      </c>
      <c r="AJ9" s="135">
        <f>IFERROR(AI9/AI27,0)</f>
        <v/>
      </c>
    </row>
    <row r="10" ht="19" customHeight="1" s="87">
      <c r="A10" s="69" t="inlineStr">
        <is>
          <t>FS26-0022</t>
        </is>
      </c>
      <c r="B10" s="70" t="inlineStr">
        <is>
          <t>ตับนุ่ม (จาน)</t>
        </is>
      </c>
      <c r="C10" s="132">
        <f>IFERROR(SUMIFS(Data!$F:$F,Data!$B:$B,"แฟชั่น 3",Data!$C:$C,"FS26-0022",Data!$A:$A,DATE(2026,5,1)),"")</f>
        <v/>
      </c>
      <c r="D10" s="132">
        <f>IFERROR(SUMIFS(Data!$F:$F,Data!$B:$B,"แฟชั่น 3",Data!$C:$C,"FS26-0022",Data!$A:$A,DATE(2026,5,2)),"")</f>
        <v/>
      </c>
      <c r="E10" s="132">
        <f>IFERROR(SUMIFS(Data!$F:$F,Data!$B:$B,"แฟชั่น 3",Data!$C:$C,"FS26-0022",Data!$A:$A,DATE(2026,5,3)),"")</f>
        <v/>
      </c>
      <c r="F10" s="132">
        <f>IFERROR(SUMIFS(Data!$F:$F,Data!$B:$B,"แฟชั่น 3",Data!$C:$C,"FS26-0022",Data!$A:$A,DATE(2026,5,4)),"")</f>
        <v/>
      </c>
      <c r="G10" s="132">
        <f>IFERROR(SUMIFS(Data!$F:$F,Data!$B:$B,"แฟชั่น 3",Data!$C:$C,"FS26-0022",Data!$A:$A,DATE(2026,5,5)),"")</f>
        <v/>
      </c>
      <c r="H10" s="132">
        <f>IFERROR(SUMIFS(Data!$F:$F,Data!$B:$B,"แฟชั่น 3",Data!$C:$C,"FS26-0022",Data!$A:$A,DATE(2026,5,6)),"")</f>
        <v/>
      </c>
      <c r="I10" s="132">
        <f>IFERROR(SUMIFS(Data!$F:$F,Data!$B:$B,"แฟชั่น 3",Data!$C:$C,"FS26-0022",Data!$A:$A,DATE(2026,5,7)),"")</f>
        <v/>
      </c>
      <c r="J10" s="132">
        <f>IFERROR(SUMIFS(Data!$F:$F,Data!$B:$B,"แฟชั่น 3",Data!$C:$C,"FS26-0022",Data!$A:$A,DATE(2026,5,8)),"")</f>
        <v/>
      </c>
      <c r="K10" s="132">
        <f>IFERROR(SUMIFS(Data!$F:$F,Data!$B:$B,"แฟชั่น 3",Data!$C:$C,"FS26-0022",Data!$A:$A,DATE(2026,5,9)),"")</f>
        <v/>
      </c>
      <c r="L10" s="132">
        <f>IFERROR(SUMIFS(Data!$F:$F,Data!$B:$B,"แฟชั่น 3",Data!$C:$C,"FS26-0022",Data!$A:$A,DATE(2026,5,10)),"")</f>
        <v/>
      </c>
      <c r="M10" s="132">
        <f>IFERROR(SUMIFS(Data!$F:$F,Data!$B:$B,"แฟชั่น 3",Data!$C:$C,"FS26-0022",Data!$A:$A,DATE(2026,5,11)),"")</f>
        <v/>
      </c>
      <c r="N10" s="132">
        <f>IFERROR(SUMIFS(Data!$F:$F,Data!$B:$B,"แฟชั่น 3",Data!$C:$C,"FS26-0022",Data!$A:$A,DATE(2026,5,12)),"")</f>
        <v/>
      </c>
      <c r="O10" s="132">
        <f>IFERROR(SUMIFS(Data!$F:$F,Data!$B:$B,"แฟชั่น 3",Data!$C:$C,"FS26-0022",Data!$A:$A,DATE(2026,5,13)),"")</f>
        <v/>
      </c>
      <c r="P10" s="132">
        <f>IFERROR(SUMIFS(Data!$F:$F,Data!$B:$B,"แฟชั่น 3",Data!$C:$C,"FS26-0022",Data!$A:$A,DATE(2026,5,14)),"")</f>
        <v/>
      </c>
      <c r="Q10" s="132">
        <f>IFERROR(SUMIFS(Data!$F:$F,Data!$B:$B,"แฟชั่น 3",Data!$C:$C,"FS26-0022",Data!$A:$A,DATE(2026,5,15)),"")</f>
        <v/>
      </c>
      <c r="R10" s="132">
        <f>IFERROR(SUMIFS(Data!$F:$F,Data!$B:$B,"แฟชั่น 3",Data!$C:$C,"FS26-0022",Data!$A:$A,DATE(2026,5,16)),"")</f>
        <v/>
      </c>
      <c r="S10" s="132">
        <f>IFERROR(SUMIFS(Data!$F:$F,Data!$B:$B,"แฟชั่น 3",Data!$C:$C,"FS26-0022",Data!$A:$A,DATE(2026,5,17)),"")</f>
        <v/>
      </c>
      <c r="T10" s="132">
        <f>IFERROR(SUMIFS(Data!$F:$F,Data!$B:$B,"แฟชั่น 3",Data!$C:$C,"FS26-0022",Data!$A:$A,DATE(2026,5,18)),"")</f>
        <v/>
      </c>
      <c r="U10" s="132">
        <f>IFERROR(SUMIFS(Data!$F:$F,Data!$B:$B,"แฟชั่น 3",Data!$C:$C,"FS26-0022",Data!$A:$A,DATE(2026,5,19)),"")</f>
        <v/>
      </c>
      <c r="V10" s="132">
        <f>IFERROR(SUMIFS(Data!$F:$F,Data!$B:$B,"แฟชั่น 3",Data!$C:$C,"FS26-0022",Data!$A:$A,DATE(2026,5,20)),"")</f>
        <v/>
      </c>
      <c r="W10" s="132">
        <f>IFERROR(SUMIFS(Data!$F:$F,Data!$B:$B,"แฟชั่น 3",Data!$C:$C,"FS26-0022",Data!$A:$A,DATE(2026,5,21)),"")</f>
        <v/>
      </c>
      <c r="X10" s="132">
        <f>IFERROR(SUMIFS(Data!$F:$F,Data!$B:$B,"แฟชั่น 3",Data!$C:$C,"FS26-0022",Data!$A:$A,DATE(2026,5,22)),"")</f>
        <v/>
      </c>
      <c r="Y10" s="132">
        <f>IFERROR(SUMIFS(Data!$F:$F,Data!$B:$B,"แฟชั่น 3",Data!$C:$C,"FS26-0022",Data!$A:$A,DATE(2026,5,23)),"")</f>
        <v/>
      </c>
      <c r="Z10" s="132">
        <f>IFERROR(SUMIFS(Data!$F:$F,Data!$B:$B,"แฟชั่น 3",Data!$C:$C,"FS26-0022",Data!$A:$A,DATE(2026,5,24)),"")</f>
        <v/>
      </c>
      <c r="AA10" s="132">
        <f>IFERROR(SUMIFS(Data!$F:$F,Data!$B:$B,"แฟชั่น 3",Data!$C:$C,"FS26-0022",Data!$A:$A,DATE(2026,5,25)),"")</f>
        <v/>
      </c>
      <c r="AB10" s="132">
        <f>IFERROR(SUMIFS(Data!$F:$F,Data!$B:$B,"แฟชั่น 3",Data!$C:$C,"FS26-0022",Data!$A:$A,DATE(2026,5,26)),"")</f>
        <v/>
      </c>
      <c r="AC10" s="132">
        <f>IFERROR(SUMIFS(Data!$F:$F,Data!$B:$B,"แฟชั่น 3",Data!$C:$C,"FS26-0022",Data!$A:$A,DATE(2026,5,27)),"")</f>
        <v/>
      </c>
      <c r="AD10" s="132">
        <f>IFERROR(SUMIFS(Data!$F:$F,Data!$B:$B,"แฟชั่น 3",Data!$C:$C,"FS26-0022",Data!$A:$A,DATE(2026,5,28)),"")</f>
        <v/>
      </c>
      <c r="AE10" s="132">
        <f>IFERROR(SUMIFS(Data!$F:$F,Data!$B:$B,"แฟชั่น 3",Data!$C:$C,"FS26-0022",Data!$A:$A,DATE(2026,5,29)),"")</f>
        <v/>
      </c>
      <c r="AF10" s="132">
        <f>IFERROR(SUMIFS(Data!$F:$F,Data!$B:$B,"แฟชั่น 3",Data!$C:$C,"FS26-0022",Data!$A:$A,DATE(2026,5,30)),"")</f>
        <v/>
      </c>
      <c r="AG10" s="132">
        <f>IFERROR(SUMIFS(Data!$F:$F,Data!$B:$B,"แฟชั่น 3",Data!$C:$C,"FS26-0022",Data!$A:$A,DATE(2026,5,31)),"")</f>
        <v/>
      </c>
      <c r="AH10" s="72">
        <f>IFERROR(SUM(C10:AG10),0)</f>
        <v/>
      </c>
      <c r="AI10" s="72">
        <f>AH10*60</f>
        <v/>
      </c>
      <c r="AJ10" s="133">
        <f>IFERROR(AI10/AI27,0)</f>
        <v/>
      </c>
    </row>
    <row r="11" ht="19" customHeight="1" s="87">
      <c r="A11" s="74" t="inlineStr">
        <is>
          <t>FS26-0023</t>
        </is>
      </c>
      <c r="B11" s="75" t="inlineStr">
        <is>
          <t>ข้าวมันเปล่า</t>
        </is>
      </c>
      <c r="C11" s="134">
        <f>IFERROR(SUMIFS(Data!$F:$F,Data!$B:$B,"แฟชั่น 3",Data!$C:$C,"FS26-0023",Data!$A:$A,DATE(2026,5,1)),"")</f>
        <v/>
      </c>
      <c r="D11" s="134">
        <f>IFERROR(SUMIFS(Data!$F:$F,Data!$B:$B,"แฟชั่น 3",Data!$C:$C,"FS26-0023",Data!$A:$A,DATE(2026,5,2)),"")</f>
        <v/>
      </c>
      <c r="E11" s="134">
        <f>IFERROR(SUMIFS(Data!$F:$F,Data!$B:$B,"แฟชั่น 3",Data!$C:$C,"FS26-0023",Data!$A:$A,DATE(2026,5,3)),"")</f>
        <v/>
      </c>
      <c r="F11" s="134">
        <f>IFERROR(SUMIFS(Data!$F:$F,Data!$B:$B,"แฟชั่น 3",Data!$C:$C,"FS26-0023",Data!$A:$A,DATE(2026,5,4)),"")</f>
        <v/>
      </c>
      <c r="G11" s="134">
        <f>IFERROR(SUMIFS(Data!$F:$F,Data!$B:$B,"แฟชั่น 3",Data!$C:$C,"FS26-0023",Data!$A:$A,DATE(2026,5,5)),"")</f>
        <v/>
      </c>
      <c r="H11" s="134">
        <f>IFERROR(SUMIFS(Data!$F:$F,Data!$B:$B,"แฟชั่น 3",Data!$C:$C,"FS26-0023",Data!$A:$A,DATE(2026,5,6)),"")</f>
        <v/>
      </c>
      <c r="I11" s="134">
        <f>IFERROR(SUMIFS(Data!$F:$F,Data!$B:$B,"แฟชั่น 3",Data!$C:$C,"FS26-0023",Data!$A:$A,DATE(2026,5,7)),"")</f>
        <v/>
      </c>
      <c r="J11" s="134">
        <f>IFERROR(SUMIFS(Data!$F:$F,Data!$B:$B,"แฟชั่น 3",Data!$C:$C,"FS26-0023",Data!$A:$A,DATE(2026,5,8)),"")</f>
        <v/>
      </c>
      <c r="K11" s="134">
        <f>IFERROR(SUMIFS(Data!$F:$F,Data!$B:$B,"แฟชั่น 3",Data!$C:$C,"FS26-0023",Data!$A:$A,DATE(2026,5,9)),"")</f>
        <v/>
      </c>
      <c r="L11" s="134">
        <f>IFERROR(SUMIFS(Data!$F:$F,Data!$B:$B,"แฟชั่น 3",Data!$C:$C,"FS26-0023",Data!$A:$A,DATE(2026,5,10)),"")</f>
        <v/>
      </c>
      <c r="M11" s="134">
        <f>IFERROR(SUMIFS(Data!$F:$F,Data!$B:$B,"แฟชั่น 3",Data!$C:$C,"FS26-0023",Data!$A:$A,DATE(2026,5,11)),"")</f>
        <v/>
      </c>
      <c r="N11" s="134">
        <f>IFERROR(SUMIFS(Data!$F:$F,Data!$B:$B,"แฟชั่น 3",Data!$C:$C,"FS26-0023",Data!$A:$A,DATE(2026,5,12)),"")</f>
        <v/>
      </c>
      <c r="O11" s="134">
        <f>IFERROR(SUMIFS(Data!$F:$F,Data!$B:$B,"แฟชั่น 3",Data!$C:$C,"FS26-0023",Data!$A:$A,DATE(2026,5,13)),"")</f>
        <v/>
      </c>
      <c r="P11" s="134">
        <f>IFERROR(SUMIFS(Data!$F:$F,Data!$B:$B,"แฟชั่น 3",Data!$C:$C,"FS26-0023",Data!$A:$A,DATE(2026,5,14)),"")</f>
        <v/>
      </c>
      <c r="Q11" s="134">
        <f>IFERROR(SUMIFS(Data!$F:$F,Data!$B:$B,"แฟชั่น 3",Data!$C:$C,"FS26-0023",Data!$A:$A,DATE(2026,5,15)),"")</f>
        <v/>
      </c>
      <c r="R11" s="134">
        <f>IFERROR(SUMIFS(Data!$F:$F,Data!$B:$B,"แฟชั่น 3",Data!$C:$C,"FS26-0023",Data!$A:$A,DATE(2026,5,16)),"")</f>
        <v/>
      </c>
      <c r="S11" s="134">
        <f>IFERROR(SUMIFS(Data!$F:$F,Data!$B:$B,"แฟชั่น 3",Data!$C:$C,"FS26-0023",Data!$A:$A,DATE(2026,5,17)),"")</f>
        <v/>
      </c>
      <c r="T11" s="134">
        <f>IFERROR(SUMIFS(Data!$F:$F,Data!$B:$B,"แฟชั่น 3",Data!$C:$C,"FS26-0023",Data!$A:$A,DATE(2026,5,18)),"")</f>
        <v/>
      </c>
      <c r="U11" s="134">
        <f>IFERROR(SUMIFS(Data!$F:$F,Data!$B:$B,"แฟชั่น 3",Data!$C:$C,"FS26-0023",Data!$A:$A,DATE(2026,5,19)),"")</f>
        <v/>
      </c>
      <c r="V11" s="134">
        <f>IFERROR(SUMIFS(Data!$F:$F,Data!$B:$B,"แฟชั่น 3",Data!$C:$C,"FS26-0023",Data!$A:$A,DATE(2026,5,20)),"")</f>
        <v/>
      </c>
      <c r="W11" s="134">
        <f>IFERROR(SUMIFS(Data!$F:$F,Data!$B:$B,"แฟชั่น 3",Data!$C:$C,"FS26-0023",Data!$A:$A,DATE(2026,5,21)),"")</f>
        <v/>
      </c>
      <c r="X11" s="134">
        <f>IFERROR(SUMIFS(Data!$F:$F,Data!$B:$B,"แฟชั่น 3",Data!$C:$C,"FS26-0023",Data!$A:$A,DATE(2026,5,22)),"")</f>
        <v/>
      </c>
      <c r="Y11" s="134">
        <f>IFERROR(SUMIFS(Data!$F:$F,Data!$B:$B,"แฟชั่น 3",Data!$C:$C,"FS26-0023",Data!$A:$A,DATE(2026,5,23)),"")</f>
        <v/>
      </c>
      <c r="Z11" s="134">
        <f>IFERROR(SUMIFS(Data!$F:$F,Data!$B:$B,"แฟชั่น 3",Data!$C:$C,"FS26-0023",Data!$A:$A,DATE(2026,5,24)),"")</f>
        <v/>
      </c>
      <c r="AA11" s="134">
        <f>IFERROR(SUMIFS(Data!$F:$F,Data!$B:$B,"แฟชั่น 3",Data!$C:$C,"FS26-0023",Data!$A:$A,DATE(2026,5,25)),"")</f>
        <v/>
      </c>
      <c r="AB11" s="134">
        <f>IFERROR(SUMIFS(Data!$F:$F,Data!$B:$B,"แฟชั่น 3",Data!$C:$C,"FS26-0023",Data!$A:$A,DATE(2026,5,26)),"")</f>
        <v/>
      </c>
      <c r="AC11" s="134">
        <f>IFERROR(SUMIFS(Data!$F:$F,Data!$B:$B,"แฟชั่น 3",Data!$C:$C,"FS26-0023",Data!$A:$A,DATE(2026,5,27)),"")</f>
        <v/>
      </c>
      <c r="AD11" s="134">
        <f>IFERROR(SUMIFS(Data!$F:$F,Data!$B:$B,"แฟชั่น 3",Data!$C:$C,"FS26-0023",Data!$A:$A,DATE(2026,5,28)),"")</f>
        <v/>
      </c>
      <c r="AE11" s="134">
        <f>IFERROR(SUMIFS(Data!$F:$F,Data!$B:$B,"แฟชั่น 3",Data!$C:$C,"FS26-0023",Data!$A:$A,DATE(2026,5,29)),"")</f>
        <v/>
      </c>
      <c r="AF11" s="134">
        <f>IFERROR(SUMIFS(Data!$F:$F,Data!$B:$B,"แฟชั่น 3",Data!$C:$C,"FS26-0023",Data!$A:$A,DATE(2026,5,30)),"")</f>
        <v/>
      </c>
      <c r="AG11" s="134">
        <f>IFERROR(SUMIFS(Data!$F:$F,Data!$B:$B,"แฟชั่น 3",Data!$C:$C,"FS26-0023",Data!$A:$A,DATE(2026,5,31)),"")</f>
        <v/>
      </c>
      <c r="AH11" s="77">
        <f>IFERROR(SUM(C11:AG11),0)</f>
        <v/>
      </c>
      <c r="AI11" s="77">
        <f>AH11*15</f>
        <v/>
      </c>
      <c r="AJ11" s="135">
        <f>IFERROR(AI11/AI27,0)</f>
        <v/>
      </c>
    </row>
    <row r="12" ht="19" customHeight="1" s="87">
      <c r="A12" s="69" t="inlineStr">
        <is>
          <t>FS26-0024</t>
        </is>
      </c>
      <c r="B12" s="70" t="inlineStr">
        <is>
          <t>ไข่ยางมะตูม</t>
        </is>
      </c>
      <c r="C12" s="132">
        <f>IFERROR(SUMIFS(Data!$F:$F,Data!$B:$B,"แฟชั่น 3",Data!$C:$C,"FS26-0024",Data!$A:$A,DATE(2026,5,1)),"")</f>
        <v/>
      </c>
      <c r="D12" s="132">
        <f>IFERROR(SUMIFS(Data!$F:$F,Data!$B:$B,"แฟชั่น 3",Data!$C:$C,"FS26-0024",Data!$A:$A,DATE(2026,5,2)),"")</f>
        <v/>
      </c>
      <c r="E12" s="132">
        <f>IFERROR(SUMIFS(Data!$F:$F,Data!$B:$B,"แฟชั่น 3",Data!$C:$C,"FS26-0024",Data!$A:$A,DATE(2026,5,3)),"")</f>
        <v/>
      </c>
      <c r="F12" s="132">
        <f>IFERROR(SUMIFS(Data!$F:$F,Data!$B:$B,"แฟชั่น 3",Data!$C:$C,"FS26-0024",Data!$A:$A,DATE(2026,5,4)),"")</f>
        <v/>
      </c>
      <c r="G12" s="132">
        <f>IFERROR(SUMIFS(Data!$F:$F,Data!$B:$B,"แฟชั่น 3",Data!$C:$C,"FS26-0024",Data!$A:$A,DATE(2026,5,5)),"")</f>
        <v/>
      </c>
      <c r="H12" s="132">
        <f>IFERROR(SUMIFS(Data!$F:$F,Data!$B:$B,"แฟชั่น 3",Data!$C:$C,"FS26-0024",Data!$A:$A,DATE(2026,5,6)),"")</f>
        <v/>
      </c>
      <c r="I12" s="132">
        <f>IFERROR(SUMIFS(Data!$F:$F,Data!$B:$B,"แฟชั่น 3",Data!$C:$C,"FS26-0024",Data!$A:$A,DATE(2026,5,7)),"")</f>
        <v/>
      </c>
      <c r="J12" s="132">
        <f>IFERROR(SUMIFS(Data!$F:$F,Data!$B:$B,"แฟชั่น 3",Data!$C:$C,"FS26-0024",Data!$A:$A,DATE(2026,5,8)),"")</f>
        <v/>
      </c>
      <c r="K12" s="132">
        <f>IFERROR(SUMIFS(Data!$F:$F,Data!$B:$B,"แฟชั่น 3",Data!$C:$C,"FS26-0024",Data!$A:$A,DATE(2026,5,9)),"")</f>
        <v/>
      </c>
      <c r="L12" s="132">
        <f>IFERROR(SUMIFS(Data!$F:$F,Data!$B:$B,"แฟชั่น 3",Data!$C:$C,"FS26-0024",Data!$A:$A,DATE(2026,5,10)),"")</f>
        <v/>
      </c>
      <c r="M12" s="132">
        <f>IFERROR(SUMIFS(Data!$F:$F,Data!$B:$B,"แฟชั่น 3",Data!$C:$C,"FS26-0024",Data!$A:$A,DATE(2026,5,11)),"")</f>
        <v/>
      </c>
      <c r="N12" s="132">
        <f>IFERROR(SUMIFS(Data!$F:$F,Data!$B:$B,"แฟชั่น 3",Data!$C:$C,"FS26-0024",Data!$A:$A,DATE(2026,5,12)),"")</f>
        <v/>
      </c>
      <c r="O12" s="132">
        <f>IFERROR(SUMIFS(Data!$F:$F,Data!$B:$B,"แฟชั่น 3",Data!$C:$C,"FS26-0024",Data!$A:$A,DATE(2026,5,13)),"")</f>
        <v/>
      </c>
      <c r="P12" s="132">
        <f>IFERROR(SUMIFS(Data!$F:$F,Data!$B:$B,"แฟชั่น 3",Data!$C:$C,"FS26-0024",Data!$A:$A,DATE(2026,5,14)),"")</f>
        <v/>
      </c>
      <c r="Q12" s="132">
        <f>IFERROR(SUMIFS(Data!$F:$F,Data!$B:$B,"แฟชั่น 3",Data!$C:$C,"FS26-0024",Data!$A:$A,DATE(2026,5,15)),"")</f>
        <v/>
      </c>
      <c r="R12" s="132">
        <f>IFERROR(SUMIFS(Data!$F:$F,Data!$B:$B,"แฟชั่น 3",Data!$C:$C,"FS26-0024",Data!$A:$A,DATE(2026,5,16)),"")</f>
        <v/>
      </c>
      <c r="S12" s="132">
        <f>IFERROR(SUMIFS(Data!$F:$F,Data!$B:$B,"แฟชั่น 3",Data!$C:$C,"FS26-0024",Data!$A:$A,DATE(2026,5,17)),"")</f>
        <v/>
      </c>
      <c r="T12" s="132">
        <f>IFERROR(SUMIFS(Data!$F:$F,Data!$B:$B,"แฟชั่น 3",Data!$C:$C,"FS26-0024",Data!$A:$A,DATE(2026,5,18)),"")</f>
        <v/>
      </c>
      <c r="U12" s="132">
        <f>IFERROR(SUMIFS(Data!$F:$F,Data!$B:$B,"แฟชั่น 3",Data!$C:$C,"FS26-0024",Data!$A:$A,DATE(2026,5,19)),"")</f>
        <v/>
      </c>
      <c r="V12" s="132">
        <f>IFERROR(SUMIFS(Data!$F:$F,Data!$B:$B,"แฟชั่น 3",Data!$C:$C,"FS26-0024",Data!$A:$A,DATE(2026,5,20)),"")</f>
        <v/>
      </c>
      <c r="W12" s="132">
        <f>IFERROR(SUMIFS(Data!$F:$F,Data!$B:$B,"แฟชั่น 3",Data!$C:$C,"FS26-0024",Data!$A:$A,DATE(2026,5,21)),"")</f>
        <v/>
      </c>
      <c r="X12" s="132">
        <f>IFERROR(SUMIFS(Data!$F:$F,Data!$B:$B,"แฟชั่น 3",Data!$C:$C,"FS26-0024",Data!$A:$A,DATE(2026,5,22)),"")</f>
        <v/>
      </c>
      <c r="Y12" s="132">
        <f>IFERROR(SUMIFS(Data!$F:$F,Data!$B:$B,"แฟชั่น 3",Data!$C:$C,"FS26-0024",Data!$A:$A,DATE(2026,5,23)),"")</f>
        <v/>
      </c>
      <c r="Z12" s="132">
        <f>IFERROR(SUMIFS(Data!$F:$F,Data!$B:$B,"แฟชั่น 3",Data!$C:$C,"FS26-0024",Data!$A:$A,DATE(2026,5,24)),"")</f>
        <v/>
      </c>
      <c r="AA12" s="132">
        <f>IFERROR(SUMIFS(Data!$F:$F,Data!$B:$B,"แฟชั่น 3",Data!$C:$C,"FS26-0024",Data!$A:$A,DATE(2026,5,25)),"")</f>
        <v/>
      </c>
      <c r="AB12" s="132">
        <f>IFERROR(SUMIFS(Data!$F:$F,Data!$B:$B,"แฟชั่น 3",Data!$C:$C,"FS26-0024",Data!$A:$A,DATE(2026,5,26)),"")</f>
        <v/>
      </c>
      <c r="AC12" s="132">
        <f>IFERROR(SUMIFS(Data!$F:$F,Data!$B:$B,"แฟชั่น 3",Data!$C:$C,"FS26-0024",Data!$A:$A,DATE(2026,5,27)),"")</f>
        <v/>
      </c>
      <c r="AD12" s="132">
        <f>IFERROR(SUMIFS(Data!$F:$F,Data!$B:$B,"แฟชั่น 3",Data!$C:$C,"FS26-0024",Data!$A:$A,DATE(2026,5,28)),"")</f>
        <v/>
      </c>
      <c r="AE12" s="132">
        <f>IFERROR(SUMIFS(Data!$F:$F,Data!$B:$B,"แฟชั่น 3",Data!$C:$C,"FS26-0024",Data!$A:$A,DATE(2026,5,29)),"")</f>
        <v/>
      </c>
      <c r="AF12" s="132">
        <f>IFERROR(SUMIFS(Data!$F:$F,Data!$B:$B,"แฟชั่น 3",Data!$C:$C,"FS26-0024",Data!$A:$A,DATE(2026,5,30)),"")</f>
        <v/>
      </c>
      <c r="AG12" s="132">
        <f>IFERROR(SUMIFS(Data!$F:$F,Data!$B:$B,"แฟชั่น 3",Data!$C:$C,"FS26-0024",Data!$A:$A,DATE(2026,5,31)),"")</f>
        <v/>
      </c>
      <c r="AH12" s="72">
        <f>IFERROR(SUM(C12:AG12),0)</f>
        <v/>
      </c>
      <c r="AI12" s="72">
        <f>AH12*10</f>
        <v/>
      </c>
      <c r="AJ12" s="133">
        <f>IFERROR(AI12/AI27,0)</f>
        <v/>
      </c>
    </row>
    <row r="13" ht="19" customHeight="1" s="87">
      <c r="A13" s="74" t="inlineStr">
        <is>
          <t>FS26-0025</t>
        </is>
      </c>
      <c r="B13" s="75" t="inlineStr">
        <is>
          <t>พิเศษ B</t>
        </is>
      </c>
      <c r="C13" s="134">
        <f>IFERROR(SUMIFS(Data!$F:$F,Data!$B:$B,"แฟชั่น 3",Data!$C:$C,"FS26-0025",Data!$A:$A,DATE(2026,5,1)),"")</f>
        <v/>
      </c>
      <c r="D13" s="134">
        <f>IFERROR(SUMIFS(Data!$F:$F,Data!$B:$B,"แฟชั่น 3",Data!$C:$C,"FS26-0025",Data!$A:$A,DATE(2026,5,2)),"")</f>
        <v/>
      </c>
      <c r="E13" s="134">
        <f>IFERROR(SUMIFS(Data!$F:$F,Data!$B:$B,"แฟชั่น 3",Data!$C:$C,"FS26-0025",Data!$A:$A,DATE(2026,5,3)),"")</f>
        <v/>
      </c>
      <c r="F13" s="134">
        <f>IFERROR(SUMIFS(Data!$F:$F,Data!$B:$B,"แฟชั่น 3",Data!$C:$C,"FS26-0025",Data!$A:$A,DATE(2026,5,4)),"")</f>
        <v/>
      </c>
      <c r="G13" s="134">
        <f>IFERROR(SUMIFS(Data!$F:$F,Data!$B:$B,"แฟชั่น 3",Data!$C:$C,"FS26-0025",Data!$A:$A,DATE(2026,5,5)),"")</f>
        <v/>
      </c>
      <c r="H13" s="134">
        <f>IFERROR(SUMIFS(Data!$F:$F,Data!$B:$B,"แฟชั่น 3",Data!$C:$C,"FS26-0025",Data!$A:$A,DATE(2026,5,6)),"")</f>
        <v/>
      </c>
      <c r="I13" s="134">
        <f>IFERROR(SUMIFS(Data!$F:$F,Data!$B:$B,"แฟชั่น 3",Data!$C:$C,"FS26-0025",Data!$A:$A,DATE(2026,5,7)),"")</f>
        <v/>
      </c>
      <c r="J13" s="134">
        <f>IFERROR(SUMIFS(Data!$F:$F,Data!$B:$B,"แฟชั่น 3",Data!$C:$C,"FS26-0025",Data!$A:$A,DATE(2026,5,8)),"")</f>
        <v/>
      </c>
      <c r="K13" s="134">
        <f>IFERROR(SUMIFS(Data!$F:$F,Data!$B:$B,"แฟชั่น 3",Data!$C:$C,"FS26-0025",Data!$A:$A,DATE(2026,5,9)),"")</f>
        <v/>
      </c>
      <c r="L13" s="134">
        <f>IFERROR(SUMIFS(Data!$F:$F,Data!$B:$B,"แฟชั่น 3",Data!$C:$C,"FS26-0025",Data!$A:$A,DATE(2026,5,10)),"")</f>
        <v/>
      </c>
      <c r="M13" s="134">
        <f>IFERROR(SUMIFS(Data!$F:$F,Data!$B:$B,"แฟชั่น 3",Data!$C:$C,"FS26-0025",Data!$A:$A,DATE(2026,5,11)),"")</f>
        <v/>
      </c>
      <c r="N13" s="134">
        <f>IFERROR(SUMIFS(Data!$F:$F,Data!$B:$B,"แฟชั่น 3",Data!$C:$C,"FS26-0025",Data!$A:$A,DATE(2026,5,12)),"")</f>
        <v/>
      </c>
      <c r="O13" s="134">
        <f>IFERROR(SUMIFS(Data!$F:$F,Data!$B:$B,"แฟชั่น 3",Data!$C:$C,"FS26-0025",Data!$A:$A,DATE(2026,5,13)),"")</f>
        <v/>
      </c>
      <c r="P13" s="134">
        <f>IFERROR(SUMIFS(Data!$F:$F,Data!$B:$B,"แฟชั่น 3",Data!$C:$C,"FS26-0025",Data!$A:$A,DATE(2026,5,14)),"")</f>
        <v/>
      </c>
      <c r="Q13" s="134">
        <f>IFERROR(SUMIFS(Data!$F:$F,Data!$B:$B,"แฟชั่น 3",Data!$C:$C,"FS26-0025",Data!$A:$A,DATE(2026,5,15)),"")</f>
        <v/>
      </c>
      <c r="R13" s="134">
        <f>IFERROR(SUMIFS(Data!$F:$F,Data!$B:$B,"แฟชั่น 3",Data!$C:$C,"FS26-0025",Data!$A:$A,DATE(2026,5,16)),"")</f>
        <v/>
      </c>
      <c r="S13" s="134">
        <f>IFERROR(SUMIFS(Data!$F:$F,Data!$B:$B,"แฟชั่น 3",Data!$C:$C,"FS26-0025",Data!$A:$A,DATE(2026,5,17)),"")</f>
        <v/>
      </c>
      <c r="T13" s="134">
        <f>IFERROR(SUMIFS(Data!$F:$F,Data!$B:$B,"แฟชั่น 3",Data!$C:$C,"FS26-0025",Data!$A:$A,DATE(2026,5,18)),"")</f>
        <v/>
      </c>
      <c r="U13" s="134">
        <f>IFERROR(SUMIFS(Data!$F:$F,Data!$B:$B,"แฟชั่น 3",Data!$C:$C,"FS26-0025",Data!$A:$A,DATE(2026,5,19)),"")</f>
        <v/>
      </c>
      <c r="V13" s="134">
        <f>IFERROR(SUMIFS(Data!$F:$F,Data!$B:$B,"แฟชั่น 3",Data!$C:$C,"FS26-0025",Data!$A:$A,DATE(2026,5,20)),"")</f>
        <v/>
      </c>
      <c r="W13" s="134">
        <f>IFERROR(SUMIFS(Data!$F:$F,Data!$B:$B,"แฟชั่น 3",Data!$C:$C,"FS26-0025",Data!$A:$A,DATE(2026,5,21)),"")</f>
        <v/>
      </c>
      <c r="X13" s="134">
        <f>IFERROR(SUMIFS(Data!$F:$F,Data!$B:$B,"แฟชั่น 3",Data!$C:$C,"FS26-0025",Data!$A:$A,DATE(2026,5,22)),"")</f>
        <v/>
      </c>
      <c r="Y13" s="134">
        <f>IFERROR(SUMIFS(Data!$F:$F,Data!$B:$B,"แฟชั่น 3",Data!$C:$C,"FS26-0025",Data!$A:$A,DATE(2026,5,23)),"")</f>
        <v/>
      </c>
      <c r="Z13" s="134">
        <f>IFERROR(SUMIFS(Data!$F:$F,Data!$B:$B,"แฟชั่น 3",Data!$C:$C,"FS26-0025",Data!$A:$A,DATE(2026,5,24)),"")</f>
        <v/>
      </c>
      <c r="AA13" s="134">
        <f>IFERROR(SUMIFS(Data!$F:$F,Data!$B:$B,"แฟชั่น 3",Data!$C:$C,"FS26-0025",Data!$A:$A,DATE(2026,5,25)),"")</f>
        <v/>
      </c>
      <c r="AB13" s="134">
        <f>IFERROR(SUMIFS(Data!$F:$F,Data!$B:$B,"แฟชั่น 3",Data!$C:$C,"FS26-0025",Data!$A:$A,DATE(2026,5,26)),"")</f>
        <v/>
      </c>
      <c r="AC13" s="134">
        <f>IFERROR(SUMIFS(Data!$F:$F,Data!$B:$B,"แฟชั่น 3",Data!$C:$C,"FS26-0025",Data!$A:$A,DATE(2026,5,27)),"")</f>
        <v/>
      </c>
      <c r="AD13" s="134">
        <f>IFERROR(SUMIFS(Data!$F:$F,Data!$B:$B,"แฟชั่น 3",Data!$C:$C,"FS26-0025",Data!$A:$A,DATE(2026,5,28)),"")</f>
        <v/>
      </c>
      <c r="AE13" s="134">
        <f>IFERROR(SUMIFS(Data!$F:$F,Data!$B:$B,"แฟชั่น 3",Data!$C:$C,"FS26-0025",Data!$A:$A,DATE(2026,5,29)),"")</f>
        <v/>
      </c>
      <c r="AF13" s="134">
        <f>IFERROR(SUMIFS(Data!$F:$F,Data!$B:$B,"แฟชั่น 3",Data!$C:$C,"FS26-0025",Data!$A:$A,DATE(2026,5,30)),"")</f>
        <v/>
      </c>
      <c r="AG13" s="134">
        <f>IFERROR(SUMIFS(Data!$F:$F,Data!$B:$B,"แฟชั่น 3",Data!$C:$C,"FS26-0025",Data!$A:$A,DATE(2026,5,31)),"")</f>
        <v/>
      </c>
      <c r="AH13" s="77">
        <f>IFERROR(SUM(C13:AG13),0)</f>
        <v/>
      </c>
      <c r="AI13" s="77">
        <f>AH13*15</f>
        <v/>
      </c>
      <c r="AJ13" s="135">
        <f>IFERROR(AI13/AI27,0)</f>
        <v/>
      </c>
    </row>
    <row r="14" ht="19" customHeight="1" s="87">
      <c r="A14" s="69" t="inlineStr">
        <is>
          <t>FS26-0026</t>
        </is>
      </c>
      <c r="B14" s="70" t="inlineStr">
        <is>
          <t>ข้าวมันไก่ต้ม</t>
        </is>
      </c>
      <c r="C14" s="132">
        <f>IFERROR(SUMIFS(Data!$F:$F,Data!$B:$B,"แฟชั่น 3",Data!$C:$C,"FS26-0026",Data!$A:$A,DATE(2026,5,1)),"")</f>
        <v/>
      </c>
      <c r="D14" s="132">
        <f>IFERROR(SUMIFS(Data!$F:$F,Data!$B:$B,"แฟชั่น 3",Data!$C:$C,"FS26-0026",Data!$A:$A,DATE(2026,5,2)),"")</f>
        <v/>
      </c>
      <c r="E14" s="132">
        <f>IFERROR(SUMIFS(Data!$F:$F,Data!$B:$B,"แฟชั่น 3",Data!$C:$C,"FS26-0026",Data!$A:$A,DATE(2026,5,3)),"")</f>
        <v/>
      </c>
      <c r="F14" s="132">
        <f>IFERROR(SUMIFS(Data!$F:$F,Data!$B:$B,"แฟชั่น 3",Data!$C:$C,"FS26-0026",Data!$A:$A,DATE(2026,5,4)),"")</f>
        <v/>
      </c>
      <c r="G14" s="132">
        <f>IFERROR(SUMIFS(Data!$F:$F,Data!$B:$B,"แฟชั่น 3",Data!$C:$C,"FS26-0026",Data!$A:$A,DATE(2026,5,5)),"")</f>
        <v/>
      </c>
      <c r="H14" s="132">
        <f>IFERROR(SUMIFS(Data!$F:$F,Data!$B:$B,"แฟชั่น 3",Data!$C:$C,"FS26-0026",Data!$A:$A,DATE(2026,5,6)),"")</f>
        <v/>
      </c>
      <c r="I14" s="132">
        <f>IFERROR(SUMIFS(Data!$F:$F,Data!$B:$B,"แฟชั่น 3",Data!$C:$C,"FS26-0026",Data!$A:$A,DATE(2026,5,7)),"")</f>
        <v/>
      </c>
      <c r="J14" s="132">
        <f>IFERROR(SUMIFS(Data!$F:$F,Data!$B:$B,"แฟชั่น 3",Data!$C:$C,"FS26-0026",Data!$A:$A,DATE(2026,5,8)),"")</f>
        <v/>
      </c>
      <c r="K14" s="132">
        <f>IFERROR(SUMIFS(Data!$F:$F,Data!$B:$B,"แฟชั่น 3",Data!$C:$C,"FS26-0026",Data!$A:$A,DATE(2026,5,9)),"")</f>
        <v/>
      </c>
      <c r="L14" s="132">
        <f>IFERROR(SUMIFS(Data!$F:$F,Data!$B:$B,"แฟชั่น 3",Data!$C:$C,"FS26-0026",Data!$A:$A,DATE(2026,5,10)),"")</f>
        <v/>
      </c>
      <c r="M14" s="132">
        <f>IFERROR(SUMIFS(Data!$F:$F,Data!$B:$B,"แฟชั่น 3",Data!$C:$C,"FS26-0026",Data!$A:$A,DATE(2026,5,11)),"")</f>
        <v/>
      </c>
      <c r="N14" s="132">
        <f>IFERROR(SUMIFS(Data!$F:$F,Data!$B:$B,"แฟชั่น 3",Data!$C:$C,"FS26-0026",Data!$A:$A,DATE(2026,5,12)),"")</f>
        <v/>
      </c>
      <c r="O14" s="132">
        <f>IFERROR(SUMIFS(Data!$F:$F,Data!$B:$B,"แฟชั่น 3",Data!$C:$C,"FS26-0026",Data!$A:$A,DATE(2026,5,13)),"")</f>
        <v/>
      </c>
      <c r="P14" s="132">
        <f>IFERROR(SUMIFS(Data!$F:$F,Data!$B:$B,"แฟชั่น 3",Data!$C:$C,"FS26-0026",Data!$A:$A,DATE(2026,5,14)),"")</f>
        <v/>
      </c>
      <c r="Q14" s="132">
        <f>IFERROR(SUMIFS(Data!$F:$F,Data!$B:$B,"แฟชั่น 3",Data!$C:$C,"FS26-0026",Data!$A:$A,DATE(2026,5,15)),"")</f>
        <v/>
      </c>
      <c r="R14" s="132">
        <f>IFERROR(SUMIFS(Data!$F:$F,Data!$B:$B,"แฟชั่น 3",Data!$C:$C,"FS26-0026",Data!$A:$A,DATE(2026,5,16)),"")</f>
        <v/>
      </c>
      <c r="S14" s="132">
        <f>IFERROR(SUMIFS(Data!$F:$F,Data!$B:$B,"แฟชั่น 3",Data!$C:$C,"FS26-0026",Data!$A:$A,DATE(2026,5,17)),"")</f>
        <v/>
      </c>
      <c r="T14" s="132">
        <f>IFERROR(SUMIFS(Data!$F:$F,Data!$B:$B,"แฟชั่น 3",Data!$C:$C,"FS26-0026",Data!$A:$A,DATE(2026,5,18)),"")</f>
        <v/>
      </c>
      <c r="U14" s="132">
        <f>IFERROR(SUMIFS(Data!$F:$F,Data!$B:$B,"แฟชั่น 3",Data!$C:$C,"FS26-0026",Data!$A:$A,DATE(2026,5,19)),"")</f>
        <v/>
      </c>
      <c r="V14" s="132">
        <f>IFERROR(SUMIFS(Data!$F:$F,Data!$B:$B,"แฟชั่น 3",Data!$C:$C,"FS26-0026",Data!$A:$A,DATE(2026,5,20)),"")</f>
        <v/>
      </c>
      <c r="W14" s="132">
        <f>IFERROR(SUMIFS(Data!$F:$F,Data!$B:$B,"แฟชั่น 3",Data!$C:$C,"FS26-0026",Data!$A:$A,DATE(2026,5,21)),"")</f>
        <v/>
      </c>
      <c r="X14" s="132">
        <f>IFERROR(SUMIFS(Data!$F:$F,Data!$B:$B,"แฟชั่น 3",Data!$C:$C,"FS26-0026",Data!$A:$A,DATE(2026,5,22)),"")</f>
        <v/>
      </c>
      <c r="Y14" s="132">
        <f>IFERROR(SUMIFS(Data!$F:$F,Data!$B:$B,"แฟชั่น 3",Data!$C:$C,"FS26-0026",Data!$A:$A,DATE(2026,5,23)),"")</f>
        <v/>
      </c>
      <c r="Z14" s="132">
        <f>IFERROR(SUMIFS(Data!$F:$F,Data!$B:$B,"แฟชั่น 3",Data!$C:$C,"FS26-0026",Data!$A:$A,DATE(2026,5,24)),"")</f>
        <v/>
      </c>
      <c r="AA14" s="132">
        <f>IFERROR(SUMIFS(Data!$F:$F,Data!$B:$B,"แฟชั่น 3",Data!$C:$C,"FS26-0026",Data!$A:$A,DATE(2026,5,25)),"")</f>
        <v/>
      </c>
      <c r="AB14" s="132">
        <f>IFERROR(SUMIFS(Data!$F:$F,Data!$B:$B,"แฟชั่น 3",Data!$C:$C,"FS26-0026",Data!$A:$A,DATE(2026,5,26)),"")</f>
        <v/>
      </c>
      <c r="AC14" s="132">
        <f>IFERROR(SUMIFS(Data!$F:$F,Data!$B:$B,"แฟชั่น 3",Data!$C:$C,"FS26-0026",Data!$A:$A,DATE(2026,5,27)),"")</f>
        <v/>
      </c>
      <c r="AD14" s="132">
        <f>IFERROR(SUMIFS(Data!$F:$F,Data!$B:$B,"แฟชั่น 3",Data!$C:$C,"FS26-0026",Data!$A:$A,DATE(2026,5,28)),"")</f>
        <v/>
      </c>
      <c r="AE14" s="132">
        <f>IFERROR(SUMIFS(Data!$F:$F,Data!$B:$B,"แฟชั่น 3",Data!$C:$C,"FS26-0026",Data!$A:$A,DATE(2026,5,29)),"")</f>
        <v/>
      </c>
      <c r="AF14" s="132">
        <f>IFERROR(SUMIFS(Data!$F:$F,Data!$B:$B,"แฟชั่น 3",Data!$C:$C,"FS26-0026",Data!$A:$A,DATE(2026,5,30)),"")</f>
        <v/>
      </c>
      <c r="AG14" s="132">
        <f>IFERROR(SUMIFS(Data!$F:$F,Data!$B:$B,"แฟชั่น 3",Data!$C:$C,"FS26-0026",Data!$A:$A,DATE(2026,5,31)),"")</f>
        <v/>
      </c>
      <c r="AH14" s="72">
        <f>IFERROR(SUM(C14:AG14),0)</f>
        <v/>
      </c>
      <c r="AI14" s="72">
        <f>AH14*60</f>
        <v/>
      </c>
      <c r="AJ14" s="133">
        <f>IFERROR(AI14/AI27,0)</f>
        <v/>
      </c>
    </row>
    <row r="15" ht="19" customHeight="1" s="87">
      <c r="A15" s="74" t="inlineStr">
        <is>
          <t>FS26-0027</t>
        </is>
      </c>
      <c r="B15" s="75" t="inlineStr">
        <is>
          <t>ข้าวมันไก่ต้ม พิเศษ</t>
        </is>
      </c>
      <c r="C15" s="134">
        <f>IFERROR(SUMIFS(Data!$F:$F,Data!$B:$B,"แฟชั่น 3",Data!$C:$C,"FS26-0027",Data!$A:$A,DATE(2026,5,1)),"")</f>
        <v/>
      </c>
      <c r="D15" s="134">
        <f>IFERROR(SUMIFS(Data!$F:$F,Data!$B:$B,"แฟชั่น 3",Data!$C:$C,"FS26-0027",Data!$A:$A,DATE(2026,5,2)),"")</f>
        <v/>
      </c>
      <c r="E15" s="134">
        <f>IFERROR(SUMIFS(Data!$F:$F,Data!$B:$B,"แฟชั่น 3",Data!$C:$C,"FS26-0027",Data!$A:$A,DATE(2026,5,3)),"")</f>
        <v/>
      </c>
      <c r="F15" s="134">
        <f>IFERROR(SUMIFS(Data!$F:$F,Data!$B:$B,"แฟชั่น 3",Data!$C:$C,"FS26-0027",Data!$A:$A,DATE(2026,5,4)),"")</f>
        <v/>
      </c>
      <c r="G15" s="134">
        <f>IFERROR(SUMIFS(Data!$F:$F,Data!$B:$B,"แฟชั่น 3",Data!$C:$C,"FS26-0027",Data!$A:$A,DATE(2026,5,5)),"")</f>
        <v/>
      </c>
      <c r="H15" s="134">
        <f>IFERROR(SUMIFS(Data!$F:$F,Data!$B:$B,"แฟชั่น 3",Data!$C:$C,"FS26-0027",Data!$A:$A,DATE(2026,5,6)),"")</f>
        <v/>
      </c>
      <c r="I15" s="134">
        <f>IFERROR(SUMIFS(Data!$F:$F,Data!$B:$B,"แฟชั่น 3",Data!$C:$C,"FS26-0027",Data!$A:$A,DATE(2026,5,7)),"")</f>
        <v/>
      </c>
      <c r="J15" s="134">
        <f>IFERROR(SUMIFS(Data!$F:$F,Data!$B:$B,"แฟชั่น 3",Data!$C:$C,"FS26-0027",Data!$A:$A,DATE(2026,5,8)),"")</f>
        <v/>
      </c>
      <c r="K15" s="134">
        <f>IFERROR(SUMIFS(Data!$F:$F,Data!$B:$B,"แฟชั่น 3",Data!$C:$C,"FS26-0027",Data!$A:$A,DATE(2026,5,9)),"")</f>
        <v/>
      </c>
      <c r="L15" s="134">
        <f>IFERROR(SUMIFS(Data!$F:$F,Data!$B:$B,"แฟชั่น 3",Data!$C:$C,"FS26-0027",Data!$A:$A,DATE(2026,5,10)),"")</f>
        <v/>
      </c>
      <c r="M15" s="134">
        <f>IFERROR(SUMIFS(Data!$F:$F,Data!$B:$B,"แฟชั่น 3",Data!$C:$C,"FS26-0027",Data!$A:$A,DATE(2026,5,11)),"")</f>
        <v/>
      </c>
      <c r="N15" s="134">
        <f>IFERROR(SUMIFS(Data!$F:$F,Data!$B:$B,"แฟชั่น 3",Data!$C:$C,"FS26-0027",Data!$A:$A,DATE(2026,5,12)),"")</f>
        <v/>
      </c>
      <c r="O15" s="134">
        <f>IFERROR(SUMIFS(Data!$F:$F,Data!$B:$B,"แฟชั่น 3",Data!$C:$C,"FS26-0027",Data!$A:$A,DATE(2026,5,13)),"")</f>
        <v/>
      </c>
      <c r="P15" s="134">
        <f>IFERROR(SUMIFS(Data!$F:$F,Data!$B:$B,"แฟชั่น 3",Data!$C:$C,"FS26-0027",Data!$A:$A,DATE(2026,5,14)),"")</f>
        <v/>
      </c>
      <c r="Q15" s="134">
        <f>IFERROR(SUMIFS(Data!$F:$F,Data!$B:$B,"แฟชั่น 3",Data!$C:$C,"FS26-0027",Data!$A:$A,DATE(2026,5,15)),"")</f>
        <v/>
      </c>
      <c r="R15" s="134">
        <f>IFERROR(SUMIFS(Data!$F:$F,Data!$B:$B,"แฟชั่น 3",Data!$C:$C,"FS26-0027",Data!$A:$A,DATE(2026,5,16)),"")</f>
        <v/>
      </c>
      <c r="S15" s="134">
        <f>IFERROR(SUMIFS(Data!$F:$F,Data!$B:$B,"แฟชั่น 3",Data!$C:$C,"FS26-0027",Data!$A:$A,DATE(2026,5,17)),"")</f>
        <v/>
      </c>
      <c r="T15" s="134">
        <f>IFERROR(SUMIFS(Data!$F:$F,Data!$B:$B,"แฟชั่น 3",Data!$C:$C,"FS26-0027",Data!$A:$A,DATE(2026,5,18)),"")</f>
        <v/>
      </c>
      <c r="U15" s="134">
        <f>IFERROR(SUMIFS(Data!$F:$F,Data!$B:$B,"แฟชั่น 3",Data!$C:$C,"FS26-0027",Data!$A:$A,DATE(2026,5,19)),"")</f>
        <v/>
      </c>
      <c r="V15" s="134">
        <f>IFERROR(SUMIFS(Data!$F:$F,Data!$B:$B,"แฟชั่น 3",Data!$C:$C,"FS26-0027",Data!$A:$A,DATE(2026,5,20)),"")</f>
        <v/>
      </c>
      <c r="W15" s="134">
        <f>IFERROR(SUMIFS(Data!$F:$F,Data!$B:$B,"แฟชั่น 3",Data!$C:$C,"FS26-0027",Data!$A:$A,DATE(2026,5,21)),"")</f>
        <v/>
      </c>
      <c r="X15" s="134">
        <f>IFERROR(SUMIFS(Data!$F:$F,Data!$B:$B,"แฟชั่น 3",Data!$C:$C,"FS26-0027",Data!$A:$A,DATE(2026,5,22)),"")</f>
        <v/>
      </c>
      <c r="Y15" s="134">
        <f>IFERROR(SUMIFS(Data!$F:$F,Data!$B:$B,"แฟชั่น 3",Data!$C:$C,"FS26-0027",Data!$A:$A,DATE(2026,5,23)),"")</f>
        <v/>
      </c>
      <c r="Z15" s="134">
        <f>IFERROR(SUMIFS(Data!$F:$F,Data!$B:$B,"แฟชั่น 3",Data!$C:$C,"FS26-0027",Data!$A:$A,DATE(2026,5,24)),"")</f>
        <v/>
      </c>
      <c r="AA15" s="134">
        <f>IFERROR(SUMIFS(Data!$F:$F,Data!$B:$B,"แฟชั่น 3",Data!$C:$C,"FS26-0027",Data!$A:$A,DATE(2026,5,25)),"")</f>
        <v/>
      </c>
      <c r="AB15" s="134">
        <f>IFERROR(SUMIFS(Data!$F:$F,Data!$B:$B,"แฟชั่น 3",Data!$C:$C,"FS26-0027",Data!$A:$A,DATE(2026,5,26)),"")</f>
        <v/>
      </c>
      <c r="AC15" s="134">
        <f>IFERROR(SUMIFS(Data!$F:$F,Data!$B:$B,"แฟชั่น 3",Data!$C:$C,"FS26-0027",Data!$A:$A,DATE(2026,5,27)),"")</f>
        <v/>
      </c>
      <c r="AD15" s="134">
        <f>IFERROR(SUMIFS(Data!$F:$F,Data!$B:$B,"แฟชั่น 3",Data!$C:$C,"FS26-0027",Data!$A:$A,DATE(2026,5,28)),"")</f>
        <v/>
      </c>
      <c r="AE15" s="134">
        <f>IFERROR(SUMIFS(Data!$F:$F,Data!$B:$B,"แฟชั่น 3",Data!$C:$C,"FS26-0027",Data!$A:$A,DATE(2026,5,29)),"")</f>
        <v/>
      </c>
      <c r="AF15" s="134">
        <f>IFERROR(SUMIFS(Data!$F:$F,Data!$B:$B,"แฟชั่น 3",Data!$C:$C,"FS26-0027",Data!$A:$A,DATE(2026,5,30)),"")</f>
        <v/>
      </c>
      <c r="AG15" s="134">
        <f>IFERROR(SUMIFS(Data!$F:$F,Data!$B:$B,"แฟชั่น 3",Data!$C:$C,"FS26-0027",Data!$A:$A,DATE(2026,5,31)),"")</f>
        <v/>
      </c>
      <c r="AH15" s="77">
        <f>IFERROR(SUM(C15:AG15),0)</f>
        <v/>
      </c>
      <c r="AI15" s="77">
        <f>AH15*70</f>
        <v/>
      </c>
      <c r="AJ15" s="135">
        <f>IFERROR(AI15/AI27,0)</f>
        <v/>
      </c>
    </row>
    <row r="16" ht="19" customHeight="1" s="87">
      <c r="A16" s="69" t="inlineStr">
        <is>
          <t>FS26-0028</t>
        </is>
      </c>
      <c r="B16" s="70" t="inlineStr">
        <is>
          <t>ข้าวมันไก่ผสม</t>
        </is>
      </c>
      <c r="C16" s="132">
        <f>IFERROR(SUMIFS(Data!$F:$F,Data!$B:$B,"แฟชั่น 3",Data!$C:$C,"FS26-0028",Data!$A:$A,DATE(2026,5,1)),"")</f>
        <v/>
      </c>
      <c r="D16" s="132">
        <f>IFERROR(SUMIFS(Data!$F:$F,Data!$B:$B,"แฟชั่น 3",Data!$C:$C,"FS26-0028",Data!$A:$A,DATE(2026,5,2)),"")</f>
        <v/>
      </c>
      <c r="E16" s="132">
        <f>IFERROR(SUMIFS(Data!$F:$F,Data!$B:$B,"แฟชั่น 3",Data!$C:$C,"FS26-0028",Data!$A:$A,DATE(2026,5,3)),"")</f>
        <v/>
      </c>
      <c r="F16" s="132">
        <f>IFERROR(SUMIFS(Data!$F:$F,Data!$B:$B,"แฟชั่น 3",Data!$C:$C,"FS26-0028",Data!$A:$A,DATE(2026,5,4)),"")</f>
        <v/>
      </c>
      <c r="G16" s="132">
        <f>IFERROR(SUMIFS(Data!$F:$F,Data!$B:$B,"แฟชั่น 3",Data!$C:$C,"FS26-0028",Data!$A:$A,DATE(2026,5,5)),"")</f>
        <v/>
      </c>
      <c r="H16" s="132">
        <f>IFERROR(SUMIFS(Data!$F:$F,Data!$B:$B,"แฟชั่น 3",Data!$C:$C,"FS26-0028",Data!$A:$A,DATE(2026,5,6)),"")</f>
        <v/>
      </c>
      <c r="I16" s="132">
        <f>IFERROR(SUMIFS(Data!$F:$F,Data!$B:$B,"แฟชั่น 3",Data!$C:$C,"FS26-0028",Data!$A:$A,DATE(2026,5,7)),"")</f>
        <v/>
      </c>
      <c r="J16" s="132">
        <f>IFERROR(SUMIFS(Data!$F:$F,Data!$B:$B,"แฟชั่น 3",Data!$C:$C,"FS26-0028",Data!$A:$A,DATE(2026,5,8)),"")</f>
        <v/>
      </c>
      <c r="K16" s="132">
        <f>IFERROR(SUMIFS(Data!$F:$F,Data!$B:$B,"แฟชั่น 3",Data!$C:$C,"FS26-0028",Data!$A:$A,DATE(2026,5,9)),"")</f>
        <v/>
      </c>
      <c r="L16" s="132">
        <f>IFERROR(SUMIFS(Data!$F:$F,Data!$B:$B,"แฟชั่น 3",Data!$C:$C,"FS26-0028",Data!$A:$A,DATE(2026,5,10)),"")</f>
        <v/>
      </c>
      <c r="M16" s="132">
        <f>IFERROR(SUMIFS(Data!$F:$F,Data!$B:$B,"แฟชั่น 3",Data!$C:$C,"FS26-0028",Data!$A:$A,DATE(2026,5,11)),"")</f>
        <v/>
      </c>
      <c r="N16" s="132">
        <f>IFERROR(SUMIFS(Data!$F:$F,Data!$B:$B,"แฟชั่น 3",Data!$C:$C,"FS26-0028",Data!$A:$A,DATE(2026,5,12)),"")</f>
        <v/>
      </c>
      <c r="O16" s="132">
        <f>IFERROR(SUMIFS(Data!$F:$F,Data!$B:$B,"แฟชั่น 3",Data!$C:$C,"FS26-0028",Data!$A:$A,DATE(2026,5,13)),"")</f>
        <v/>
      </c>
      <c r="P16" s="132">
        <f>IFERROR(SUMIFS(Data!$F:$F,Data!$B:$B,"แฟชั่น 3",Data!$C:$C,"FS26-0028",Data!$A:$A,DATE(2026,5,14)),"")</f>
        <v/>
      </c>
      <c r="Q16" s="132">
        <f>IFERROR(SUMIFS(Data!$F:$F,Data!$B:$B,"แฟชั่น 3",Data!$C:$C,"FS26-0028",Data!$A:$A,DATE(2026,5,15)),"")</f>
        <v/>
      </c>
      <c r="R16" s="132">
        <f>IFERROR(SUMIFS(Data!$F:$F,Data!$B:$B,"แฟชั่น 3",Data!$C:$C,"FS26-0028",Data!$A:$A,DATE(2026,5,16)),"")</f>
        <v/>
      </c>
      <c r="S16" s="132">
        <f>IFERROR(SUMIFS(Data!$F:$F,Data!$B:$B,"แฟชั่น 3",Data!$C:$C,"FS26-0028",Data!$A:$A,DATE(2026,5,17)),"")</f>
        <v/>
      </c>
      <c r="T16" s="132">
        <f>IFERROR(SUMIFS(Data!$F:$F,Data!$B:$B,"แฟชั่น 3",Data!$C:$C,"FS26-0028",Data!$A:$A,DATE(2026,5,18)),"")</f>
        <v/>
      </c>
      <c r="U16" s="132">
        <f>IFERROR(SUMIFS(Data!$F:$F,Data!$B:$B,"แฟชั่น 3",Data!$C:$C,"FS26-0028",Data!$A:$A,DATE(2026,5,19)),"")</f>
        <v/>
      </c>
      <c r="V16" s="132">
        <f>IFERROR(SUMIFS(Data!$F:$F,Data!$B:$B,"แฟชั่น 3",Data!$C:$C,"FS26-0028",Data!$A:$A,DATE(2026,5,20)),"")</f>
        <v/>
      </c>
      <c r="W16" s="132">
        <f>IFERROR(SUMIFS(Data!$F:$F,Data!$B:$B,"แฟชั่น 3",Data!$C:$C,"FS26-0028",Data!$A:$A,DATE(2026,5,21)),"")</f>
        <v/>
      </c>
      <c r="X16" s="132">
        <f>IFERROR(SUMIFS(Data!$F:$F,Data!$B:$B,"แฟชั่น 3",Data!$C:$C,"FS26-0028",Data!$A:$A,DATE(2026,5,22)),"")</f>
        <v/>
      </c>
      <c r="Y16" s="132">
        <f>IFERROR(SUMIFS(Data!$F:$F,Data!$B:$B,"แฟชั่น 3",Data!$C:$C,"FS26-0028",Data!$A:$A,DATE(2026,5,23)),"")</f>
        <v/>
      </c>
      <c r="Z16" s="132">
        <f>IFERROR(SUMIFS(Data!$F:$F,Data!$B:$B,"แฟชั่น 3",Data!$C:$C,"FS26-0028",Data!$A:$A,DATE(2026,5,24)),"")</f>
        <v/>
      </c>
      <c r="AA16" s="132">
        <f>IFERROR(SUMIFS(Data!$F:$F,Data!$B:$B,"แฟชั่น 3",Data!$C:$C,"FS26-0028",Data!$A:$A,DATE(2026,5,25)),"")</f>
        <v/>
      </c>
      <c r="AB16" s="132">
        <f>IFERROR(SUMIFS(Data!$F:$F,Data!$B:$B,"แฟชั่น 3",Data!$C:$C,"FS26-0028",Data!$A:$A,DATE(2026,5,26)),"")</f>
        <v/>
      </c>
      <c r="AC16" s="132">
        <f>IFERROR(SUMIFS(Data!$F:$F,Data!$B:$B,"แฟชั่น 3",Data!$C:$C,"FS26-0028",Data!$A:$A,DATE(2026,5,27)),"")</f>
        <v/>
      </c>
      <c r="AD16" s="132">
        <f>IFERROR(SUMIFS(Data!$F:$F,Data!$B:$B,"แฟชั่น 3",Data!$C:$C,"FS26-0028",Data!$A:$A,DATE(2026,5,28)),"")</f>
        <v/>
      </c>
      <c r="AE16" s="132">
        <f>IFERROR(SUMIFS(Data!$F:$F,Data!$B:$B,"แฟชั่น 3",Data!$C:$C,"FS26-0028",Data!$A:$A,DATE(2026,5,29)),"")</f>
        <v/>
      </c>
      <c r="AF16" s="132">
        <f>IFERROR(SUMIFS(Data!$F:$F,Data!$B:$B,"แฟชั่น 3",Data!$C:$C,"FS26-0028",Data!$A:$A,DATE(2026,5,30)),"")</f>
        <v/>
      </c>
      <c r="AG16" s="132">
        <f>IFERROR(SUMIFS(Data!$F:$F,Data!$B:$B,"แฟชั่น 3",Data!$C:$C,"FS26-0028",Data!$A:$A,DATE(2026,5,31)),"")</f>
        <v/>
      </c>
      <c r="AH16" s="72">
        <f>IFERROR(SUM(C16:AG16),0)</f>
        <v/>
      </c>
      <c r="AI16" s="72">
        <f>AH16*70</f>
        <v/>
      </c>
      <c r="AJ16" s="133">
        <f>IFERROR(AI16/AI27,0)</f>
        <v/>
      </c>
    </row>
    <row r="17" ht="19" customHeight="1" s="87">
      <c r="A17" s="74" t="inlineStr">
        <is>
          <t>FS26-0029</t>
        </is>
      </c>
      <c r="B17" s="75" t="inlineStr">
        <is>
          <t>ข้าวยำไก่แซ่บ</t>
        </is>
      </c>
      <c r="C17" s="134">
        <f>IFERROR(SUMIFS(Data!$F:$F,Data!$B:$B,"แฟชั่น 3",Data!$C:$C,"FS26-0029",Data!$A:$A,DATE(2026,5,1)),"")</f>
        <v/>
      </c>
      <c r="D17" s="134">
        <f>IFERROR(SUMIFS(Data!$F:$F,Data!$B:$B,"แฟชั่น 3",Data!$C:$C,"FS26-0029",Data!$A:$A,DATE(2026,5,2)),"")</f>
        <v/>
      </c>
      <c r="E17" s="134">
        <f>IFERROR(SUMIFS(Data!$F:$F,Data!$B:$B,"แฟชั่น 3",Data!$C:$C,"FS26-0029",Data!$A:$A,DATE(2026,5,3)),"")</f>
        <v/>
      </c>
      <c r="F17" s="134">
        <f>IFERROR(SUMIFS(Data!$F:$F,Data!$B:$B,"แฟชั่น 3",Data!$C:$C,"FS26-0029",Data!$A:$A,DATE(2026,5,4)),"")</f>
        <v/>
      </c>
      <c r="G17" s="134">
        <f>IFERROR(SUMIFS(Data!$F:$F,Data!$B:$B,"แฟชั่น 3",Data!$C:$C,"FS26-0029",Data!$A:$A,DATE(2026,5,5)),"")</f>
        <v/>
      </c>
      <c r="H17" s="134">
        <f>IFERROR(SUMIFS(Data!$F:$F,Data!$B:$B,"แฟชั่น 3",Data!$C:$C,"FS26-0029",Data!$A:$A,DATE(2026,5,6)),"")</f>
        <v/>
      </c>
      <c r="I17" s="134">
        <f>IFERROR(SUMIFS(Data!$F:$F,Data!$B:$B,"แฟชั่น 3",Data!$C:$C,"FS26-0029",Data!$A:$A,DATE(2026,5,7)),"")</f>
        <v/>
      </c>
      <c r="J17" s="134">
        <f>IFERROR(SUMIFS(Data!$F:$F,Data!$B:$B,"แฟชั่น 3",Data!$C:$C,"FS26-0029",Data!$A:$A,DATE(2026,5,8)),"")</f>
        <v/>
      </c>
      <c r="K17" s="134">
        <f>IFERROR(SUMIFS(Data!$F:$F,Data!$B:$B,"แฟชั่น 3",Data!$C:$C,"FS26-0029",Data!$A:$A,DATE(2026,5,9)),"")</f>
        <v/>
      </c>
      <c r="L17" s="134">
        <f>IFERROR(SUMIFS(Data!$F:$F,Data!$B:$B,"แฟชั่น 3",Data!$C:$C,"FS26-0029",Data!$A:$A,DATE(2026,5,10)),"")</f>
        <v/>
      </c>
      <c r="M17" s="134">
        <f>IFERROR(SUMIFS(Data!$F:$F,Data!$B:$B,"แฟชั่น 3",Data!$C:$C,"FS26-0029",Data!$A:$A,DATE(2026,5,11)),"")</f>
        <v/>
      </c>
      <c r="N17" s="134">
        <f>IFERROR(SUMIFS(Data!$F:$F,Data!$B:$B,"แฟชั่น 3",Data!$C:$C,"FS26-0029",Data!$A:$A,DATE(2026,5,12)),"")</f>
        <v/>
      </c>
      <c r="O17" s="134">
        <f>IFERROR(SUMIFS(Data!$F:$F,Data!$B:$B,"แฟชั่น 3",Data!$C:$C,"FS26-0029",Data!$A:$A,DATE(2026,5,13)),"")</f>
        <v/>
      </c>
      <c r="P17" s="134">
        <f>IFERROR(SUMIFS(Data!$F:$F,Data!$B:$B,"แฟชั่น 3",Data!$C:$C,"FS26-0029",Data!$A:$A,DATE(2026,5,14)),"")</f>
        <v/>
      </c>
      <c r="Q17" s="134">
        <f>IFERROR(SUMIFS(Data!$F:$F,Data!$B:$B,"แฟชั่น 3",Data!$C:$C,"FS26-0029",Data!$A:$A,DATE(2026,5,15)),"")</f>
        <v/>
      </c>
      <c r="R17" s="134">
        <f>IFERROR(SUMIFS(Data!$F:$F,Data!$B:$B,"แฟชั่น 3",Data!$C:$C,"FS26-0029",Data!$A:$A,DATE(2026,5,16)),"")</f>
        <v/>
      </c>
      <c r="S17" s="134">
        <f>IFERROR(SUMIFS(Data!$F:$F,Data!$B:$B,"แฟชั่น 3",Data!$C:$C,"FS26-0029",Data!$A:$A,DATE(2026,5,17)),"")</f>
        <v/>
      </c>
      <c r="T17" s="134">
        <f>IFERROR(SUMIFS(Data!$F:$F,Data!$B:$B,"แฟชั่น 3",Data!$C:$C,"FS26-0029",Data!$A:$A,DATE(2026,5,18)),"")</f>
        <v/>
      </c>
      <c r="U17" s="134">
        <f>IFERROR(SUMIFS(Data!$F:$F,Data!$B:$B,"แฟชั่น 3",Data!$C:$C,"FS26-0029",Data!$A:$A,DATE(2026,5,19)),"")</f>
        <v/>
      </c>
      <c r="V17" s="134">
        <f>IFERROR(SUMIFS(Data!$F:$F,Data!$B:$B,"แฟชั่น 3",Data!$C:$C,"FS26-0029",Data!$A:$A,DATE(2026,5,20)),"")</f>
        <v/>
      </c>
      <c r="W17" s="134">
        <f>IFERROR(SUMIFS(Data!$F:$F,Data!$B:$B,"แฟชั่น 3",Data!$C:$C,"FS26-0029",Data!$A:$A,DATE(2026,5,21)),"")</f>
        <v/>
      </c>
      <c r="X17" s="134">
        <f>IFERROR(SUMIFS(Data!$F:$F,Data!$B:$B,"แฟชั่น 3",Data!$C:$C,"FS26-0029",Data!$A:$A,DATE(2026,5,22)),"")</f>
        <v/>
      </c>
      <c r="Y17" s="134">
        <f>IFERROR(SUMIFS(Data!$F:$F,Data!$B:$B,"แฟชั่น 3",Data!$C:$C,"FS26-0029",Data!$A:$A,DATE(2026,5,23)),"")</f>
        <v/>
      </c>
      <c r="Z17" s="134">
        <f>IFERROR(SUMIFS(Data!$F:$F,Data!$B:$B,"แฟชั่น 3",Data!$C:$C,"FS26-0029",Data!$A:$A,DATE(2026,5,24)),"")</f>
        <v/>
      </c>
      <c r="AA17" s="134">
        <f>IFERROR(SUMIFS(Data!$F:$F,Data!$B:$B,"แฟชั่น 3",Data!$C:$C,"FS26-0029",Data!$A:$A,DATE(2026,5,25)),"")</f>
        <v/>
      </c>
      <c r="AB17" s="134">
        <f>IFERROR(SUMIFS(Data!$F:$F,Data!$B:$B,"แฟชั่น 3",Data!$C:$C,"FS26-0029",Data!$A:$A,DATE(2026,5,26)),"")</f>
        <v/>
      </c>
      <c r="AC17" s="134">
        <f>IFERROR(SUMIFS(Data!$F:$F,Data!$B:$B,"แฟชั่น 3",Data!$C:$C,"FS26-0029",Data!$A:$A,DATE(2026,5,27)),"")</f>
        <v/>
      </c>
      <c r="AD17" s="134">
        <f>IFERROR(SUMIFS(Data!$F:$F,Data!$B:$B,"แฟชั่น 3",Data!$C:$C,"FS26-0029",Data!$A:$A,DATE(2026,5,28)),"")</f>
        <v/>
      </c>
      <c r="AE17" s="134">
        <f>IFERROR(SUMIFS(Data!$F:$F,Data!$B:$B,"แฟชั่น 3",Data!$C:$C,"FS26-0029",Data!$A:$A,DATE(2026,5,29)),"")</f>
        <v/>
      </c>
      <c r="AF17" s="134">
        <f>IFERROR(SUMIFS(Data!$F:$F,Data!$B:$B,"แฟชั่น 3",Data!$C:$C,"FS26-0029",Data!$A:$A,DATE(2026,5,30)),"")</f>
        <v/>
      </c>
      <c r="AG17" s="134">
        <f>IFERROR(SUMIFS(Data!$F:$F,Data!$B:$B,"แฟชั่น 3",Data!$C:$C,"FS26-0029",Data!$A:$A,DATE(2026,5,31)),"")</f>
        <v/>
      </c>
      <c r="AH17" s="77">
        <f>IFERROR(SUM(C17:AG17),0)</f>
        <v/>
      </c>
      <c r="AI17" s="77">
        <f>AH17*60</f>
        <v/>
      </c>
      <c r="AJ17" s="135">
        <f>IFERROR(AI17/AI27,0)</f>
        <v/>
      </c>
    </row>
    <row r="18" ht="19" customHeight="1" s="87">
      <c r="A18" s="69" t="inlineStr">
        <is>
          <t>FS26-0031</t>
        </is>
      </c>
      <c r="B18" s="70" t="inlineStr">
        <is>
          <t>เพิ่มตับนุ่ม (เสริม)</t>
        </is>
      </c>
      <c r="C18" s="132">
        <f>IFERROR(SUMIFS(Data!$F:$F,Data!$B:$B,"แฟชั่น 3",Data!$C:$C,"FS26-0031",Data!$A:$A,DATE(2026,5,1)),"")</f>
        <v/>
      </c>
      <c r="D18" s="132">
        <f>IFERROR(SUMIFS(Data!$F:$F,Data!$B:$B,"แฟชั่น 3",Data!$C:$C,"FS26-0031",Data!$A:$A,DATE(2026,5,2)),"")</f>
        <v/>
      </c>
      <c r="E18" s="132">
        <f>IFERROR(SUMIFS(Data!$F:$F,Data!$B:$B,"แฟชั่น 3",Data!$C:$C,"FS26-0031",Data!$A:$A,DATE(2026,5,3)),"")</f>
        <v/>
      </c>
      <c r="F18" s="132">
        <f>IFERROR(SUMIFS(Data!$F:$F,Data!$B:$B,"แฟชั่น 3",Data!$C:$C,"FS26-0031",Data!$A:$A,DATE(2026,5,4)),"")</f>
        <v/>
      </c>
      <c r="G18" s="132">
        <f>IFERROR(SUMIFS(Data!$F:$F,Data!$B:$B,"แฟชั่น 3",Data!$C:$C,"FS26-0031",Data!$A:$A,DATE(2026,5,5)),"")</f>
        <v/>
      </c>
      <c r="H18" s="132">
        <f>IFERROR(SUMIFS(Data!$F:$F,Data!$B:$B,"แฟชั่น 3",Data!$C:$C,"FS26-0031",Data!$A:$A,DATE(2026,5,6)),"")</f>
        <v/>
      </c>
      <c r="I18" s="132">
        <f>IFERROR(SUMIFS(Data!$F:$F,Data!$B:$B,"แฟชั่น 3",Data!$C:$C,"FS26-0031",Data!$A:$A,DATE(2026,5,7)),"")</f>
        <v/>
      </c>
      <c r="J18" s="132">
        <f>IFERROR(SUMIFS(Data!$F:$F,Data!$B:$B,"แฟชั่น 3",Data!$C:$C,"FS26-0031",Data!$A:$A,DATE(2026,5,8)),"")</f>
        <v/>
      </c>
      <c r="K18" s="132">
        <f>IFERROR(SUMIFS(Data!$F:$F,Data!$B:$B,"แฟชั่น 3",Data!$C:$C,"FS26-0031",Data!$A:$A,DATE(2026,5,9)),"")</f>
        <v/>
      </c>
      <c r="L18" s="132">
        <f>IFERROR(SUMIFS(Data!$F:$F,Data!$B:$B,"แฟชั่น 3",Data!$C:$C,"FS26-0031",Data!$A:$A,DATE(2026,5,10)),"")</f>
        <v/>
      </c>
      <c r="M18" s="132">
        <f>IFERROR(SUMIFS(Data!$F:$F,Data!$B:$B,"แฟชั่น 3",Data!$C:$C,"FS26-0031",Data!$A:$A,DATE(2026,5,11)),"")</f>
        <v/>
      </c>
      <c r="N18" s="132">
        <f>IFERROR(SUMIFS(Data!$F:$F,Data!$B:$B,"แฟชั่น 3",Data!$C:$C,"FS26-0031",Data!$A:$A,DATE(2026,5,12)),"")</f>
        <v/>
      </c>
      <c r="O18" s="132">
        <f>IFERROR(SUMIFS(Data!$F:$F,Data!$B:$B,"แฟชั่น 3",Data!$C:$C,"FS26-0031",Data!$A:$A,DATE(2026,5,13)),"")</f>
        <v/>
      </c>
      <c r="P18" s="132">
        <f>IFERROR(SUMIFS(Data!$F:$F,Data!$B:$B,"แฟชั่น 3",Data!$C:$C,"FS26-0031",Data!$A:$A,DATE(2026,5,14)),"")</f>
        <v/>
      </c>
      <c r="Q18" s="132">
        <f>IFERROR(SUMIFS(Data!$F:$F,Data!$B:$B,"แฟชั่น 3",Data!$C:$C,"FS26-0031",Data!$A:$A,DATE(2026,5,15)),"")</f>
        <v/>
      </c>
      <c r="R18" s="132">
        <f>IFERROR(SUMIFS(Data!$F:$F,Data!$B:$B,"แฟชั่น 3",Data!$C:$C,"FS26-0031",Data!$A:$A,DATE(2026,5,16)),"")</f>
        <v/>
      </c>
      <c r="S18" s="132">
        <f>IFERROR(SUMIFS(Data!$F:$F,Data!$B:$B,"แฟชั่น 3",Data!$C:$C,"FS26-0031",Data!$A:$A,DATE(2026,5,17)),"")</f>
        <v/>
      </c>
      <c r="T18" s="132">
        <f>IFERROR(SUMIFS(Data!$F:$F,Data!$B:$B,"แฟชั่น 3",Data!$C:$C,"FS26-0031",Data!$A:$A,DATE(2026,5,18)),"")</f>
        <v/>
      </c>
      <c r="U18" s="132">
        <f>IFERROR(SUMIFS(Data!$F:$F,Data!$B:$B,"แฟชั่น 3",Data!$C:$C,"FS26-0031",Data!$A:$A,DATE(2026,5,19)),"")</f>
        <v/>
      </c>
      <c r="V18" s="132">
        <f>IFERROR(SUMIFS(Data!$F:$F,Data!$B:$B,"แฟชั่น 3",Data!$C:$C,"FS26-0031",Data!$A:$A,DATE(2026,5,20)),"")</f>
        <v/>
      </c>
      <c r="W18" s="132">
        <f>IFERROR(SUMIFS(Data!$F:$F,Data!$B:$B,"แฟชั่น 3",Data!$C:$C,"FS26-0031",Data!$A:$A,DATE(2026,5,21)),"")</f>
        <v/>
      </c>
      <c r="X18" s="132">
        <f>IFERROR(SUMIFS(Data!$F:$F,Data!$B:$B,"แฟชั่น 3",Data!$C:$C,"FS26-0031",Data!$A:$A,DATE(2026,5,22)),"")</f>
        <v/>
      </c>
      <c r="Y18" s="132">
        <f>IFERROR(SUMIFS(Data!$F:$F,Data!$B:$B,"แฟชั่น 3",Data!$C:$C,"FS26-0031",Data!$A:$A,DATE(2026,5,23)),"")</f>
        <v/>
      </c>
      <c r="Z18" s="132">
        <f>IFERROR(SUMIFS(Data!$F:$F,Data!$B:$B,"แฟชั่น 3",Data!$C:$C,"FS26-0031",Data!$A:$A,DATE(2026,5,24)),"")</f>
        <v/>
      </c>
      <c r="AA18" s="132">
        <f>IFERROR(SUMIFS(Data!$F:$F,Data!$B:$B,"แฟชั่น 3",Data!$C:$C,"FS26-0031",Data!$A:$A,DATE(2026,5,25)),"")</f>
        <v/>
      </c>
      <c r="AB18" s="132">
        <f>IFERROR(SUMIFS(Data!$F:$F,Data!$B:$B,"แฟชั่น 3",Data!$C:$C,"FS26-0031",Data!$A:$A,DATE(2026,5,26)),"")</f>
        <v/>
      </c>
      <c r="AC18" s="132">
        <f>IFERROR(SUMIFS(Data!$F:$F,Data!$B:$B,"แฟชั่น 3",Data!$C:$C,"FS26-0031",Data!$A:$A,DATE(2026,5,27)),"")</f>
        <v/>
      </c>
      <c r="AD18" s="132">
        <f>IFERROR(SUMIFS(Data!$F:$F,Data!$B:$B,"แฟชั่น 3",Data!$C:$C,"FS26-0031",Data!$A:$A,DATE(2026,5,28)),"")</f>
        <v/>
      </c>
      <c r="AE18" s="132">
        <f>IFERROR(SUMIFS(Data!$F:$F,Data!$B:$B,"แฟชั่น 3",Data!$C:$C,"FS26-0031",Data!$A:$A,DATE(2026,5,29)),"")</f>
        <v/>
      </c>
      <c r="AF18" s="132">
        <f>IFERROR(SUMIFS(Data!$F:$F,Data!$B:$B,"แฟชั่น 3",Data!$C:$C,"FS26-0031",Data!$A:$A,DATE(2026,5,30)),"")</f>
        <v/>
      </c>
      <c r="AG18" s="132">
        <f>IFERROR(SUMIFS(Data!$F:$F,Data!$B:$B,"แฟชั่น 3",Data!$C:$C,"FS26-0031",Data!$A:$A,DATE(2026,5,31)),"")</f>
        <v/>
      </c>
      <c r="AH18" s="72">
        <f>IFERROR(SUM(C18:AG18),0)</f>
        <v/>
      </c>
      <c r="AI18" s="72">
        <f>AH18*15</f>
        <v/>
      </c>
      <c r="AJ18" s="133">
        <f>IFERROR(AI18/AI27,0)</f>
        <v/>
      </c>
    </row>
    <row r="19" ht="19" customHeight="1" s="87">
      <c r="A19" s="74" t="inlineStr">
        <is>
          <t>FS26-0034</t>
        </is>
      </c>
      <c r="B19" s="75" t="inlineStr">
        <is>
          <t>พิเศษ A</t>
        </is>
      </c>
      <c r="C19" s="134">
        <f>IFERROR(SUMIFS(Data!$F:$F,Data!$B:$B,"แฟชั่น 3",Data!$C:$C,"FS26-0034",Data!$A:$A,DATE(2026,5,1)),"")</f>
        <v/>
      </c>
      <c r="D19" s="134">
        <f>IFERROR(SUMIFS(Data!$F:$F,Data!$B:$B,"แฟชั่น 3",Data!$C:$C,"FS26-0034",Data!$A:$A,DATE(2026,5,2)),"")</f>
        <v/>
      </c>
      <c r="E19" s="134">
        <f>IFERROR(SUMIFS(Data!$F:$F,Data!$B:$B,"แฟชั่น 3",Data!$C:$C,"FS26-0034",Data!$A:$A,DATE(2026,5,3)),"")</f>
        <v/>
      </c>
      <c r="F19" s="134">
        <f>IFERROR(SUMIFS(Data!$F:$F,Data!$B:$B,"แฟชั่น 3",Data!$C:$C,"FS26-0034",Data!$A:$A,DATE(2026,5,4)),"")</f>
        <v/>
      </c>
      <c r="G19" s="134">
        <f>IFERROR(SUMIFS(Data!$F:$F,Data!$B:$B,"แฟชั่น 3",Data!$C:$C,"FS26-0034",Data!$A:$A,DATE(2026,5,5)),"")</f>
        <v/>
      </c>
      <c r="H19" s="134">
        <f>IFERROR(SUMIFS(Data!$F:$F,Data!$B:$B,"แฟชั่น 3",Data!$C:$C,"FS26-0034",Data!$A:$A,DATE(2026,5,6)),"")</f>
        <v/>
      </c>
      <c r="I19" s="134">
        <f>IFERROR(SUMIFS(Data!$F:$F,Data!$B:$B,"แฟชั่น 3",Data!$C:$C,"FS26-0034",Data!$A:$A,DATE(2026,5,7)),"")</f>
        <v/>
      </c>
      <c r="J19" s="134">
        <f>IFERROR(SUMIFS(Data!$F:$F,Data!$B:$B,"แฟชั่น 3",Data!$C:$C,"FS26-0034",Data!$A:$A,DATE(2026,5,8)),"")</f>
        <v/>
      </c>
      <c r="K19" s="134">
        <f>IFERROR(SUMIFS(Data!$F:$F,Data!$B:$B,"แฟชั่น 3",Data!$C:$C,"FS26-0034",Data!$A:$A,DATE(2026,5,9)),"")</f>
        <v/>
      </c>
      <c r="L19" s="134">
        <f>IFERROR(SUMIFS(Data!$F:$F,Data!$B:$B,"แฟชั่น 3",Data!$C:$C,"FS26-0034",Data!$A:$A,DATE(2026,5,10)),"")</f>
        <v/>
      </c>
      <c r="M19" s="134">
        <f>IFERROR(SUMIFS(Data!$F:$F,Data!$B:$B,"แฟชั่น 3",Data!$C:$C,"FS26-0034",Data!$A:$A,DATE(2026,5,11)),"")</f>
        <v/>
      </c>
      <c r="N19" s="134">
        <f>IFERROR(SUMIFS(Data!$F:$F,Data!$B:$B,"แฟชั่น 3",Data!$C:$C,"FS26-0034",Data!$A:$A,DATE(2026,5,12)),"")</f>
        <v/>
      </c>
      <c r="O19" s="134">
        <f>IFERROR(SUMIFS(Data!$F:$F,Data!$B:$B,"แฟชั่น 3",Data!$C:$C,"FS26-0034",Data!$A:$A,DATE(2026,5,13)),"")</f>
        <v/>
      </c>
      <c r="P19" s="134">
        <f>IFERROR(SUMIFS(Data!$F:$F,Data!$B:$B,"แฟชั่น 3",Data!$C:$C,"FS26-0034",Data!$A:$A,DATE(2026,5,14)),"")</f>
        <v/>
      </c>
      <c r="Q19" s="134">
        <f>IFERROR(SUMIFS(Data!$F:$F,Data!$B:$B,"แฟชั่น 3",Data!$C:$C,"FS26-0034",Data!$A:$A,DATE(2026,5,15)),"")</f>
        <v/>
      </c>
      <c r="R19" s="134">
        <f>IFERROR(SUMIFS(Data!$F:$F,Data!$B:$B,"แฟชั่น 3",Data!$C:$C,"FS26-0034",Data!$A:$A,DATE(2026,5,16)),"")</f>
        <v/>
      </c>
      <c r="S19" s="134">
        <f>IFERROR(SUMIFS(Data!$F:$F,Data!$B:$B,"แฟชั่น 3",Data!$C:$C,"FS26-0034",Data!$A:$A,DATE(2026,5,17)),"")</f>
        <v/>
      </c>
      <c r="T19" s="134">
        <f>IFERROR(SUMIFS(Data!$F:$F,Data!$B:$B,"แฟชั่น 3",Data!$C:$C,"FS26-0034",Data!$A:$A,DATE(2026,5,18)),"")</f>
        <v/>
      </c>
      <c r="U19" s="134">
        <f>IFERROR(SUMIFS(Data!$F:$F,Data!$B:$B,"แฟชั่น 3",Data!$C:$C,"FS26-0034",Data!$A:$A,DATE(2026,5,19)),"")</f>
        <v/>
      </c>
      <c r="V19" s="134">
        <f>IFERROR(SUMIFS(Data!$F:$F,Data!$B:$B,"แฟชั่น 3",Data!$C:$C,"FS26-0034",Data!$A:$A,DATE(2026,5,20)),"")</f>
        <v/>
      </c>
      <c r="W19" s="134">
        <f>IFERROR(SUMIFS(Data!$F:$F,Data!$B:$B,"แฟชั่น 3",Data!$C:$C,"FS26-0034",Data!$A:$A,DATE(2026,5,21)),"")</f>
        <v/>
      </c>
      <c r="X19" s="134">
        <f>IFERROR(SUMIFS(Data!$F:$F,Data!$B:$B,"แฟชั่น 3",Data!$C:$C,"FS26-0034",Data!$A:$A,DATE(2026,5,22)),"")</f>
        <v/>
      </c>
      <c r="Y19" s="134">
        <f>IFERROR(SUMIFS(Data!$F:$F,Data!$B:$B,"แฟชั่น 3",Data!$C:$C,"FS26-0034",Data!$A:$A,DATE(2026,5,23)),"")</f>
        <v/>
      </c>
      <c r="Z19" s="134">
        <f>IFERROR(SUMIFS(Data!$F:$F,Data!$B:$B,"แฟชั่น 3",Data!$C:$C,"FS26-0034",Data!$A:$A,DATE(2026,5,24)),"")</f>
        <v/>
      </c>
      <c r="AA19" s="134">
        <f>IFERROR(SUMIFS(Data!$F:$F,Data!$B:$B,"แฟชั่น 3",Data!$C:$C,"FS26-0034",Data!$A:$A,DATE(2026,5,25)),"")</f>
        <v/>
      </c>
      <c r="AB19" s="134">
        <f>IFERROR(SUMIFS(Data!$F:$F,Data!$B:$B,"แฟชั่น 3",Data!$C:$C,"FS26-0034",Data!$A:$A,DATE(2026,5,26)),"")</f>
        <v/>
      </c>
      <c r="AC19" s="134">
        <f>IFERROR(SUMIFS(Data!$F:$F,Data!$B:$B,"แฟชั่น 3",Data!$C:$C,"FS26-0034",Data!$A:$A,DATE(2026,5,27)),"")</f>
        <v/>
      </c>
      <c r="AD19" s="134">
        <f>IFERROR(SUMIFS(Data!$F:$F,Data!$B:$B,"แฟชั่น 3",Data!$C:$C,"FS26-0034",Data!$A:$A,DATE(2026,5,28)),"")</f>
        <v/>
      </c>
      <c r="AE19" s="134">
        <f>IFERROR(SUMIFS(Data!$F:$F,Data!$B:$B,"แฟชั่น 3",Data!$C:$C,"FS26-0034",Data!$A:$A,DATE(2026,5,29)),"")</f>
        <v/>
      </c>
      <c r="AF19" s="134">
        <f>IFERROR(SUMIFS(Data!$F:$F,Data!$B:$B,"แฟชั่น 3",Data!$C:$C,"FS26-0034",Data!$A:$A,DATE(2026,5,30)),"")</f>
        <v/>
      </c>
      <c r="AG19" s="134">
        <f>IFERROR(SUMIFS(Data!$F:$F,Data!$B:$B,"แฟชั่น 3",Data!$C:$C,"FS26-0034",Data!$A:$A,DATE(2026,5,31)),"")</f>
        <v/>
      </c>
      <c r="AH19" s="77">
        <f>IFERROR(SUM(C19:AG19),0)</f>
        <v/>
      </c>
      <c r="AI19" s="77">
        <f>AH19*10</f>
        <v/>
      </c>
      <c r="AJ19" s="135">
        <f>IFERROR(AI19/AI27,0)</f>
        <v/>
      </c>
    </row>
    <row r="20" ht="19" customHeight="1" s="87">
      <c r="A20" s="69" t="inlineStr">
        <is>
          <t>FS26-0036</t>
        </is>
      </c>
      <c r="B20" s="70" t="inlineStr">
        <is>
          <t>ข้าวมันไก่จัดเต็ม</t>
        </is>
      </c>
      <c r="C20" s="132">
        <f>IFERROR(SUMIFS(Data!$F:$F,Data!$B:$B,"แฟชั่น 3",Data!$C:$C,"FS26-0036",Data!$A:$A,DATE(2026,5,1)),"")</f>
        <v/>
      </c>
      <c r="D20" s="132">
        <f>IFERROR(SUMIFS(Data!$F:$F,Data!$B:$B,"แฟชั่น 3",Data!$C:$C,"FS26-0036",Data!$A:$A,DATE(2026,5,2)),"")</f>
        <v/>
      </c>
      <c r="E20" s="132">
        <f>IFERROR(SUMIFS(Data!$F:$F,Data!$B:$B,"แฟชั่น 3",Data!$C:$C,"FS26-0036",Data!$A:$A,DATE(2026,5,3)),"")</f>
        <v/>
      </c>
      <c r="F20" s="132">
        <f>IFERROR(SUMIFS(Data!$F:$F,Data!$B:$B,"แฟชั่น 3",Data!$C:$C,"FS26-0036",Data!$A:$A,DATE(2026,5,4)),"")</f>
        <v/>
      </c>
      <c r="G20" s="132">
        <f>IFERROR(SUMIFS(Data!$F:$F,Data!$B:$B,"แฟชั่น 3",Data!$C:$C,"FS26-0036",Data!$A:$A,DATE(2026,5,5)),"")</f>
        <v/>
      </c>
      <c r="H20" s="132">
        <f>IFERROR(SUMIFS(Data!$F:$F,Data!$B:$B,"แฟชั่น 3",Data!$C:$C,"FS26-0036",Data!$A:$A,DATE(2026,5,6)),"")</f>
        <v/>
      </c>
      <c r="I20" s="132">
        <f>IFERROR(SUMIFS(Data!$F:$F,Data!$B:$B,"แฟชั่น 3",Data!$C:$C,"FS26-0036",Data!$A:$A,DATE(2026,5,7)),"")</f>
        <v/>
      </c>
      <c r="J20" s="132">
        <f>IFERROR(SUMIFS(Data!$F:$F,Data!$B:$B,"แฟชั่น 3",Data!$C:$C,"FS26-0036",Data!$A:$A,DATE(2026,5,8)),"")</f>
        <v/>
      </c>
      <c r="K20" s="132">
        <f>IFERROR(SUMIFS(Data!$F:$F,Data!$B:$B,"แฟชั่น 3",Data!$C:$C,"FS26-0036",Data!$A:$A,DATE(2026,5,9)),"")</f>
        <v/>
      </c>
      <c r="L20" s="132">
        <f>IFERROR(SUMIFS(Data!$F:$F,Data!$B:$B,"แฟชั่น 3",Data!$C:$C,"FS26-0036",Data!$A:$A,DATE(2026,5,10)),"")</f>
        <v/>
      </c>
      <c r="M20" s="132">
        <f>IFERROR(SUMIFS(Data!$F:$F,Data!$B:$B,"แฟชั่น 3",Data!$C:$C,"FS26-0036",Data!$A:$A,DATE(2026,5,11)),"")</f>
        <v/>
      </c>
      <c r="N20" s="132">
        <f>IFERROR(SUMIFS(Data!$F:$F,Data!$B:$B,"แฟชั่น 3",Data!$C:$C,"FS26-0036",Data!$A:$A,DATE(2026,5,12)),"")</f>
        <v/>
      </c>
      <c r="O20" s="132">
        <f>IFERROR(SUMIFS(Data!$F:$F,Data!$B:$B,"แฟชั่น 3",Data!$C:$C,"FS26-0036",Data!$A:$A,DATE(2026,5,13)),"")</f>
        <v/>
      </c>
      <c r="P20" s="132">
        <f>IFERROR(SUMIFS(Data!$F:$F,Data!$B:$B,"แฟชั่น 3",Data!$C:$C,"FS26-0036",Data!$A:$A,DATE(2026,5,14)),"")</f>
        <v/>
      </c>
      <c r="Q20" s="132">
        <f>IFERROR(SUMIFS(Data!$F:$F,Data!$B:$B,"แฟชั่น 3",Data!$C:$C,"FS26-0036",Data!$A:$A,DATE(2026,5,15)),"")</f>
        <v/>
      </c>
      <c r="R20" s="132">
        <f>IFERROR(SUMIFS(Data!$F:$F,Data!$B:$B,"แฟชั่น 3",Data!$C:$C,"FS26-0036",Data!$A:$A,DATE(2026,5,16)),"")</f>
        <v/>
      </c>
      <c r="S20" s="132">
        <f>IFERROR(SUMIFS(Data!$F:$F,Data!$B:$B,"แฟชั่น 3",Data!$C:$C,"FS26-0036",Data!$A:$A,DATE(2026,5,17)),"")</f>
        <v/>
      </c>
      <c r="T20" s="132">
        <f>IFERROR(SUMIFS(Data!$F:$F,Data!$B:$B,"แฟชั่น 3",Data!$C:$C,"FS26-0036",Data!$A:$A,DATE(2026,5,18)),"")</f>
        <v/>
      </c>
      <c r="U20" s="132">
        <f>IFERROR(SUMIFS(Data!$F:$F,Data!$B:$B,"แฟชั่น 3",Data!$C:$C,"FS26-0036",Data!$A:$A,DATE(2026,5,19)),"")</f>
        <v/>
      </c>
      <c r="V20" s="132">
        <f>IFERROR(SUMIFS(Data!$F:$F,Data!$B:$B,"แฟชั่น 3",Data!$C:$C,"FS26-0036",Data!$A:$A,DATE(2026,5,20)),"")</f>
        <v/>
      </c>
      <c r="W20" s="132">
        <f>IFERROR(SUMIFS(Data!$F:$F,Data!$B:$B,"แฟชั่น 3",Data!$C:$C,"FS26-0036",Data!$A:$A,DATE(2026,5,21)),"")</f>
        <v/>
      </c>
      <c r="X20" s="132">
        <f>IFERROR(SUMIFS(Data!$F:$F,Data!$B:$B,"แฟชั่น 3",Data!$C:$C,"FS26-0036",Data!$A:$A,DATE(2026,5,22)),"")</f>
        <v/>
      </c>
      <c r="Y20" s="132">
        <f>IFERROR(SUMIFS(Data!$F:$F,Data!$B:$B,"แฟชั่น 3",Data!$C:$C,"FS26-0036",Data!$A:$A,DATE(2026,5,23)),"")</f>
        <v/>
      </c>
      <c r="Z20" s="132">
        <f>IFERROR(SUMIFS(Data!$F:$F,Data!$B:$B,"แฟชั่น 3",Data!$C:$C,"FS26-0036",Data!$A:$A,DATE(2026,5,24)),"")</f>
        <v/>
      </c>
      <c r="AA20" s="132">
        <f>IFERROR(SUMIFS(Data!$F:$F,Data!$B:$B,"แฟชั่น 3",Data!$C:$C,"FS26-0036",Data!$A:$A,DATE(2026,5,25)),"")</f>
        <v/>
      </c>
      <c r="AB20" s="132">
        <f>IFERROR(SUMIFS(Data!$F:$F,Data!$B:$B,"แฟชั่น 3",Data!$C:$C,"FS26-0036",Data!$A:$A,DATE(2026,5,26)),"")</f>
        <v/>
      </c>
      <c r="AC20" s="132">
        <f>IFERROR(SUMIFS(Data!$F:$F,Data!$B:$B,"แฟชั่น 3",Data!$C:$C,"FS26-0036",Data!$A:$A,DATE(2026,5,27)),"")</f>
        <v/>
      </c>
      <c r="AD20" s="132">
        <f>IFERROR(SUMIFS(Data!$F:$F,Data!$B:$B,"แฟชั่น 3",Data!$C:$C,"FS26-0036",Data!$A:$A,DATE(2026,5,28)),"")</f>
        <v/>
      </c>
      <c r="AE20" s="132">
        <f>IFERROR(SUMIFS(Data!$F:$F,Data!$B:$B,"แฟชั่น 3",Data!$C:$C,"FS26-0036",Data!$A:$A,DATE(2026,5,29)),"")</f>
        <v/>
      </c>
      <c r="AF20" s="132">
        <f>IFERROR(SUMIFS(Data!$F:$F,Data!$B:$B,"แฟชั่น 3",Data!$C:$C,"FS26-0036",Data!$A:$A,DATE(2026,5,30)),"")</f>
        <v/>
      </c>
      <c r="AG20" s="132">
        <f>IFERROR(SUMIFS(Data!$F:$F,Data!$B:$B,"แฟชั่น 3",Data!$C:$C,"FS26-0036",Data!$A:$A,DATE(2026,5,31)),"")</f>
        <v/>
      </c>
      <c r="AH20" s="72">
        <f>IFERROR(SUM(C20:AG20),0)</f>
        <v/>
      </c>
      <c r="AI20" s="72">
        <f>AH20*80</f>
        <v/>
      </c>
      <c r="AJ20" s="133">
        <f>IFERROR(AI20/AI27,0)</f>
        <v/>
      </c>
    </row>
    <row r="21" ht="19" customHeight="1" s="87">
      <c r="A21" s="74" t="inlineStr">
        <is>
          <t>FS26-0037</t>
        </is>
      </c>
      <c r="B21" s="75" t="inlineStr">
        <is>
          <t>ข้าวมันไก่ย่าง</t>
        </is>
      </c>
      <c r="C21" s="134">
        <f>IFERROR(SUMIFS(Data!$F:$F,Data!$B:$B,"แฟชั่น 3",Data!$C:$C,"FS26-0037",Data!$A:$A,DATE(2026,5,1)),"")</f>
        <v/>
      </c>
      <c r="D21" s="134">
        <f>IFERROR(SUMIFS(Data!$F:$F,Data!$B:$B,"แฟชั่น 3",Data!$C:$C,"FS26-0037",Data!$A:$A,DATE(2026,5,2)),"")</f>
        <v/>
      </c>
      <c r="E21" s="134">
        <f>IFERROR(SUMIFS(Data!$F:$F,Data!$B:$B,"แฟชั่น 3",Data!$C:$C,"FS26-0037",Data!$A:$A,DATE(2026,5,3)),"")</f>
        <v/>
      </c>
      <c r="F21" s="134">
        <f>IFERROR(SUMIFS(Data!$F:$F,Data!$B:$B,"แฟชั่น 3",Data!$C:$C,"FS26-0037",Data!$A:$A,DATE(2026,5,4)),"")</f>
        <v/>
      </c>
      <c r="G21" s="134">
        <f>IFERROR(SUMIFS(Data!$F:$F,Data!$B:$B,"แฟชั่น 3",Data!$C:$C,"FS26-0037",Data!$A:$A,DATE(2026,5,5)),"")</f>
        <v/>
      </c>
      <c r="H21" s="134">
        <f>IFERROR(SUMIFS(Data!$F:$F,Data!$B:$B,"แฟชั่น 3",Data!$C:$C,"FS26-0037",Data!$A:$A,DATE(2026,5,6)),"")</f>
        <v/>
      </c>
      <c r="I21" s="134">
        <f>IFERROR(SUMIFS(Data!$F:$F,Data!$B:$B,"แฟชั่น 3",Data!$C:$C,"FS26-0037",Data!$A:$A,DATE(2026,5,7)),"")</f>
        <v/>
      </c>
      <c r="J21" s="134">
        <f>IFERROR(SUMIFS(Data!$F:$F,Data!$B:$B,"แฟชั่น 3",Data!$C:$C,"FS26-0037",Data!$A:$A,DATE(2026,5,8)),"")</f>
        <v/>
      </c>
      <c r="K21" s="134">
        <f>IFERROR(SUMIFS(Data!$F:$F,Data!$B:$B,"แฟชั่น 3",Data!$C:$C,"FS26-0037",Data!$A:$A,DATE(2026,5,9)),"")</f>
        <v/>
      </c>
      <c r="L21" s="134">
        <f>IFERROR(SUMIFS(Data!$F:$F,Data!$B:$B,"แฟชั่น 3",Data!$C:$C,"FS26-0037",Data!$A:$A,DATE(2026,5,10)),"")</f>
        <v/>
      </c>
      <c r="M21" s="134">
        <f>IFERROR(SUMIFS(Data!$F:$F,Data!$B:$B,"แฟชั่น 3",Data!$C:$C,"FS26-0037",Data!$A:$A,DATE(2026,5,11)),"")</f>
        <v/>
      </c>
      <c r="N21" s="134">
        <f>IFERROR(SUMIFS(Data!$F:$F,Data!$B:$B,"แฟชั่น 3",Data!$C:$C,"FS26-0037",Data!$A:$A,DATE(2026,5,12)),"")</f>
        <v/>
      </c>
      <c r="O21" s="134">
        <f>IFERROR(SUMIFS(Data!$F:$F,Data!$B:$B,"แฟชั่น 3",Data!$C:$C,"FS26-0037",Data!$A:$A,DATE(2026,5,13)),"")</f>
        <v/>
      </c>
      <c r="P21" s="134">
        <f>IFERROR(SUMIFS(Data!$F:$F,Data!$B:$B,"แฟชั่น 3",Data!$C:$C,"FS26-0037",Data!$A:$A,DATE(2026,5,14)),"")</f>
        <v/>
      </c>
      <c r="Q21" s="134">
        <f>IFERROR(SUMIFS(Data!$F:$F,Data!$B:$B,"แฟชั่น 3",Data!$C:$C,"FS26-0037",Data!$A:$A,DATE(2026,5,15)),"")</f>
        <v/>
      </c>
      <c r="R21" s="134">
        <f>IFERROR(SUMIFS(Data!$F:$F,Data!$B:$B,"แฟชั่น 3",Data!$C:$C,"FS26-0037",Data!$A:$A,DATE(2026,5,16)),"")</f>
        <v/>
      </c>
      <c r="S21" s="134">
        <f>IFERROR(SUMIFS(Data!$F:$F,Data!$B:$B,"แฟชั่น 3",Data!$C:$C,"FS26-0037",Data!$A:$A,DATE(2026,5,17)),"")</f>
        <v/>
      </c>
      <c r="T21" s="134">
        <f>IFERROR(SUMIFS(Data!$F:$F,Data!$B:$B,"แฟชั่น 3",Data!$C:$C,"FS26-0037",Data!$A:$A,DATE(2026,5,18)),"")</f>
        <v/>
      </c>
      <c r="U21" s="134">
        <f>IFERROR(SUMIFS(Data!$F:$F,Data!$B:$B,"แฟชั่น 3",Data!$C:$C,"FS26-0037",Data!$A:$A,DATE(2026,5,19)),"")</f>
        <v/>
      </c>
      <c r="V21" s="134">
        <f>IFERROR(SUMIFS(Data!$F:$F,Data!$B:$B,"แฟชั่น 3",Data!$C:$C,"FS26-0037",Data!$A:$A,DATE(2026,5,20)),"")</f>
        <v/>
      </c>
      <c r="W21" s="134">
        <f>IFERROR(SUMIFS(Data!$F:$F,Data!$B:$B,"แฟชั่น 3",Data!$C:$C,"FS26-0037",Data!$A:$A,DATE(2026,5,21)),"")</f>
        <v/>
      </c>
      <c r="X21" s="134">
        <f>IFERROR(SUMIFS(Data!$F:$F,Data!$B:$B,"แฟชั่น 3",Data!$C:$C,"FS26-0037",Data!$A:$A,DATE(2026,5,22)),"")</f>
        <v/>
      </c>
      <c r="Y21" s="134">
        <f>IFERROR(SUMIFS(Data!$F:$F,Data!$B:$B,"แฟชั่น 3",Data!$C:$C,"FS26-0037",Data!$A:$A,DATE(2026,5,23)),"")</f>
        <v/>
      </c>
      <c r="Z21" s="134">
        <f>IFERROR(SUMIFS(Data!$F:$F,Data!$B:$B,"แฟชั่น 3",Data!$C:$C,"FS26-0037",Data!$A:$A,DATE(2026,5,24)),"")</f>
        <v/>
      </c>
      <c r="AA21" s="134">
        <f>IFERROR(SUMIFS(Data!$F:$F,Data!$B:$B,"แฟชั่น 3",Data!$C:$C,"FS26-0037",Data!$A:$A,DATE(2026,5,25)),"")</f>
        <v/>
      </c>
      <c r="AB21" s="134">
        <f>IFERROR(SUMIFS(Data!$F:$F,Data!$B:$B,"แฟชั่น 3",Data!$C:$C,"FS26-0037",Data!$A:$A,DATE(2026,5,26)),"")</f>
        <v/>
      </c>
      <c r="AC21" s="134">
        <f>IFERROR(SUMIFS(Data!$F:$F,Data!$B:$B,"แฟชั่น 3",Data!$C:$C,"FS26-0037",Data!$A:$A,DATE(2026,5,27)),"")</f>
        <v/>
      </c>
      <c r="AD21" s="134">
        <f>IFERROR(SUMIFS(Data!$F:$F,Data!$B:$B,"แฟชั่น 3",Data!$C:$C,"FS26-0037",Data!$A:$A,DATE(2026,5,28)),"")</f>
        <v/>
      </c>
      <c r="AE21" s="134">
        <f>IFERROR(SUMIFS(Data!$F:$F,Data!$B:$B,"แฟชั่น 3",Data!$C:$C,"FS26-0037",Data!$A:$A,DATE(2026,5,29)),"")</f>
        <v/>
      </c>
      <c r="AF21" s="134">
        <f>IFERROR(SUMIFS(Data!$F:$F,Data!$B:$B,"แฟชั่น 3",Data!$C:$C,"FS26-0037",Data!$A:$A,DATE(2026,5,30)),"")</f>
        <v/>
      </c>
      <c r="AG21" s="134">
        <f>IFERROR(SUMIFS(Data!$F:$F,Data!$B:$B,"แฟชั่น 3",Data!$C:$C,"FS26-0037",Data!$A:$A,DATE(2026,5,31)),"")</f>
        <v/>
      </c>
      <c r="AH21" s="77">
        <f>IFERROR(SUM(C21:AG21),0)</f>
        <v/>
      </c>
      <c r="AI21" s="77">
        <f>AH21*60</f>
        <v/>
      </c>
      <c r="AJ21" s="135">
        <f>IFERROR(AI21/AI27,0)</f>
        <v/>
      </c>
    </row>
    <row r="22" ht="19" customHeight="1" s="87">
      <c r="A22" s="69" t="inlineStr">
        <is>
          <t>FS26-0038</t>
        </is>
      </c>
      <c r="B22" s="70" t="inlineStr">
        <is>
          <t>ข้าวแกงกะหรี่ไก่ทอด</t>
        </is>
      </c>
      <c r="C22" s="132">
        <f>IFERROR(SUMIFS(Data!$F:$F,Data!$B:$B,"แฟชั่น 3",Data!$C:$C,"FS26-0038",Data!$A:$A,DATE(2026,5,1)),"")</f>
        <v/>
      </c>
      <c r="D22" s="132">
        <f>IFERROR(SUMIFS(Data!$F:$F,Data!$B:$B,"แฟชั่น 3",Data!$C:$C,"FS26-0038",Data!$A:$A,DATE(2026,5,2)),"")</f>
        <v/>
      </c>
      <c r="E22" s="132">
        <f>IFERROR(SUMIFS(Data!$F:$F,Data!$B:$B,"แฟชั่น 3",Data!$C:$C,"FS26-0038",Data!$A:$A,DATE(2026,5,3)),"")</f>
        <v/>
      </c>
      <c r="F22" s="132">
        <f>IFERROR(SUMIFS(Data!$F:$F,Data!$B:$B,"แฟชั่น 3",Data!$C:$C,"FS26-0038",Data!$A:$A,DATE(2026,5,4)),"")</f>
        <v/>
      </c>
      <c r="G22" s="132">
        <f>IFERROR(SUMIFS(Data!$F:$F,Data!$B:$B,"แฟชั่น 3",Data!$C:$C,"FS26-0038",Data!$A:$A,DATE(2026,5,5)),"")</f>
        <v/>
      </c>
      <c r="H22" s="132">
        <f>IFERROR(SUMIFS(Data!$F:$F,Data!$B:$B,"แฟชั่น 3",Data!$C:$C,"FS26-0038",Data!$A:$A,DATE(2026,5,6)),"")</f>
        <v/>
      </c>
      <c r="I22" s="132">
        <f>IFERROR(SUMIFS(Data!$F:$F,Data!$B:$B,"แฟชั่น 3",Data!$C:$C,"FS26-0038",Data!$A:$A,DATE(2026,5,7)),"")</f>
        <v/>
      </c>
      <c r="J22" s="132">
        <f>IFERROR(SUMIFS(Data!$F:$F,Data!$B:$B,"แฟชั่น 3",Data!$C:$C,"FS26-0038",Data!$A:$A,DATE(2026,5,8)),"")</f>
        <v/>
      </c>
      <c r="K22" s="132">
        <f>IFERROR(SUMIFS(Data!$F:$F,Data!$B:$B,"แฟชั่น 3",Data!$C:$C,"FS26-0038",Data!$A:$A,DATE(2026,5,9)),"")</f>
        <v/>
      </c>
      <c r="L22" s="132">
        <f>IFERROR(SUMIFS(Data!$F:$F,Data!$B:$B,"แฟชั่น 3",Data!$C:$C,"FS26-0038",Data!$A:$A,DATE(2026,5,10)),"")</f>
        <v/>
      </c>
      <c r="M22" s="132">
        <f>IFERROR(SUMIFS(Data!$F:$F,Data!$B:$B,"แฟชั่น 3",Data!$C:$C,"FS26-0038",Data!$A:$A,DATE(2026,5,11)),"")</f>
        <v/>
      </c>
      <c r="N22" s="132">
        <f>IFERROR(SUMIFS(Data!$F:$F,Data!$B:$B,"แฟชั่น 3",Data!$C:$C,"FS26-0038",Data!$A:$A,DATE(2026,5,12)),"")</f>
        <v/>
      </c>
      <c r="O22" s="132">
        <f>IFERROR(SUMIFS(Data!$F:$F,Data!$B:$B,"แฟชั่น 3",Data!$C:$C,"FS26-0038",Data!$A:$A,DATE(2026,5,13)),"")</f>
        <v/>
      </c>
      <c r="P22" s="132">
        <f>IFERROR(SUMIFS(Data!$F:$F,Data!$B:$B,"แฟชั่น 3",Data!$C:$C,"FS26-0038",Data!$A:$A,DATE(2026,5,14)),"")</f>
        <v/>
      </c>
      <c r="Q22" s="132">
        <f>IFERROR(SUMIFS(Data!$F:$F,Data!$B:$B,"แฟชั่น 3",Data!$C:$C,"FS26-0038",Data!$A:$A,DATE(2026,5,15)),"")</f>
        <v/>
      </c>
      <c r="R22" s="132">
        <f>IFERROR(SUMIFS(Data!$F:$F,Data!$B:$B,"แฟชั่น 3",Data!$C:$C,"FS26-0038",Data!$A:$A,DATE(2026,5,16)),"")</f>
        <v/>
      </c>
      <c r="S22" s="132">
        <f>IFERROR(SUMIFS(Data!$F:$F,Data!$B:$B,"แฟชั่น 3",Data!$C:$C,"FS26-0038",Data!$A:$A,DATE(2026,5,17)),"")</f>
        <v/>
      </c>
      <c r="T22" s="132">
        <f>IFERROR(SUMIFS(Data!$F:$F,Data!$B:$B,"แฟชั่น 3",Data!$C:$C,"FS26-0038",Data!$A:$A,DATE(2026,5,18)),"")</f>
        <v/>
      </c>
      <c r="U22" s="132">
        <f>IFERROR(SUMIFS(Data!$F:$F,Data!$B:$B,"แฟชั่น 3",Data!$C:$C,"FS26-0038",Data!$A:$A,DATE(2026,5,19)),"")</f>
        <v/>
      </c>
      <c r="V22" s="132">
        <f>IFERROR(SUMIFS(Data!$F:$F,Data!$B:$B,"แฟชั่น 3",Data!$C:$C,"FS26-0038",Data!$A:$A,DATE(2026,5,20)),"")</f>
        <v/>
      </c>
      <c r="W22" s="132">
        <f>IFERROR(SUMIFS(Data!$F:$F,Data!$B:$B,"แฟชั่น 3",Data!$C:$C,"FS26-0038",Data!$A:$A,DATE(2026,5,21)),"")</f>
        <v/>
      </c>
      <c r="X22" s="132">
        <f>IFERROR(SUMIFS(Data!$F:$F,Data!$B:$B,"แฟชั่น 3",Data!$C:$C,"FS26-0038",Data!$A:$A,DATE(2026,5,22)),"")</f>
        <v/>
      </c>
      <c r="Y22" s="132">
        <f>IFERROR(SUMIFS(Data!$F:$F,Data!$B:$B,"แฟชั่น 3",Data!$C:$C,"FS26-0038",Data!$A:$A,DATE(2026,5,23)),"")</f>
        <v/>
      </c>
      <c r="Z22" s="132">
        <f>IFERROR(SUMIFS(Data!$F:$F,Data!$B:$B,"แฟชั่น 3",Data!$C:$C,"FS26-0038",Data!$A:$A,DATE(2026,5,24)),"")</f>
        <v/>
      </c>
      <c r="AA22" s="132">
        <f>IFERROR(SUMIFS(Data!$F:$F,Data!$B:$B,"แฟชั่น 3",Data!$C:$C,"FS26-0038",Data!$A:$A,DATE(2026,5,25)),"")</f>
        <v/>
      </c>
      <c r="AB22" s="132">
        <f>IFERROR(SUMIFS(Data!$F:$F,Data!$B:$B,"แฟชั่น 3",Data!$C:$C,"FS26-0038",Data!$A:$A,DATE(2026,5,26)),"")</f>
        <v/>
      </c>
      <c r="AC22" s="132">
        <f>IFERROR(SUMIFS(Data!$F:$F,Data!$B:$B,"แฟชั่น 3",Data!$C:$C,"FS26-0038",Data!$A:$A,DATE(2026,5,27)),"")</f>
        <v/>
      </c>
      <c r="AD22" s="132">
        <f>IFERROR(SUMIFS(Data!$F:$F,Data!$B:$B,"แฟชั่น 3",Data!$C:$C,"FS26-0038",Data!$A:$A,DATE(2026,5,28)),"")</f>
        <v/>
      </c>
      <c r="AE22" s="132">
        <f>IFERROR(SUMIFS(Data!$F:$F,Data!$B:$B,"แฟชั่น 3",Data!$C:$C,"FS26-0038",Data!$A:$A,DATE(2026,5,29)),"")</f>
        <v/>
      </c>
      <c r="AF22" s="132">
        <f>IFERROR(SUMIFS(Data!$F:$F,Data!$B:$B,"แฟชั่น 3",Data!$C:$C,"FS26-0038",Data!$A:$A,DATE(2026,5,30)),"")</f>
        <v/>
      </c>
      <c r="AG22" s="132">
        <f>IFERROR(SUMIFS(Data!$F:$F,Data!$B:$B,"แฟชั่น 3",Data!$C:$C,"FS26-0038",Data!$A:$A,DATE(2026,5,31)),"")</f>
        <v/>
      </c>
      <c r="AH22" s="72">
        <f>IFERROR(SUM(C22:AG22),0)</f>
        <v/>
      </c>
      <c r="AI22" s="72">
        <f>AH22*54</f>
        <v/>
      </c>
      <c r="AJ22" s="133">
        <f>IFERROR(AI22/AI27,0)</f>
        <v/>
      </c>
    </row>
    <row r="23" ht="19" customHeight="1" s="87">
      <c r="A23" s="74" t="inlineStr">
        <is>
          <t>FS26-0039</t>
        </is>
      </c>
      <c r="B23" s="75" t="inlineStr">
        <is>
          <t>ข้าวแกงกะหรี่ปลายทอด</t>
        </is>
      </c>
      <c r="C23" s="134">
        <f>IFERROR(SUMIFS(Data!$F:$F,Data!$B:$B,"แฟชั่น 3",Data!$C:$C,"FS26-0039",Data!$A:$A,DATE(2026,5,1)),"")</f>
        <v/>
      </c>
      <c r="D23" s="134">
        <f>IFERROR(SUMIFS(Data!$F:$F,Data!$B:$B,"แฟชั่น 3",Data!$C:$C,"FS26-0039",Data!$A:$A,DATE(2026,5,2)),"")</f>
        <v/>
      </c>
      <c r="E23" s="134">
        <f>IFERROR(SUMIFS(Data!$F:$F,Data!$B:$B,"แฟชั่น 3",Data!$C:$C,"FS26-0039",Data!$A:$A,DATE(2026,5,3)),"")</f>
        <v/>
      </c>
      <c r="F23" s="134">
        <f>IFERROR(SUMIFS(Data!$F:$F,Data!$B:$B,"แฟชั่น 3",Data!$C:$C,"FS26-0039",Data!$A:$A,DATE(2026,5,4)),"")</f>
        <v/>
      </c>
      <c r="G23" s="134">
        <f>IFERROR(SUMIFS(Data!$F:$F,Data!$B:$B,"แฟชั่น 3",Data!$C:$C,"FS26-0039",Data!$A:$A,DATE(2026,5,5)),"")</f>
        <v/>
      </c>
      <c r="H23" s="134">
        <f>IFERROR(SUMIFS(Data!$F:$F,Data!$B:$B,"แฟชั่น 3",Data!$C:$C,"FS26-0039",Data!$A:$A,DATE(2026,5,6)),"")</f>
        <v/>
      </c>
      <c r="I23" s="134">
        <f>IFERROR(SUMIFS(Data!$F:$F,Data!$B:$B,"แฟชั่น 3",Data!$C:$C,"FS26-0039",Data!$A:$A,DATE(2026,5,7)),"")</f>
        <v/>
      </c>
      <c r="J23" s="134">
        <f>IFERROR(SUMIFS(Data!$F:$F,Data!$B:$B,"แฟชั่น 3",Data!$C:$C,"FS26-0039",Data!$A:$A,DATE(2026,5,8)),"")</f>
        <v/>
      </c>
      <c r="K23" s="134">
        <f>IFERROR(SUMIFS(Data!$F:$F,Data!$B:$B,"แฟชั่น 3",Data!$C:$C,"FS26-0039",Data!$A:$A,DATE(2026,5,9)),"")</f>
        <v/>
      </c>
      <c r="L23" s="134">
        <f>IFERROR(SUMIFS(Data!$F:$F,Data!$B:$B,"แฟชั่น 3",Data!$C:$C,"FS26-0039",Data!$A:$A,DATE(2026,5,10)),"")</f>
        <v/>
      </c>
      <c r="M23" s="134">
        <f>IFERROR(SUMIFS(Data!$F:$F,Data!$B:$B,"แฟชั่น 3",Data!$C:$C,"FS26-0039",Data!$A:$A,DATE(2026,5,11)),"")</f>
        <v/>
      </c>
      <c r="N23" s="134">
        <f>IFERROR(SUMIFS(Data!$F:$F,Data!$B:$B,"แฟชั่น 3",Data!$C:$C,"FS26-0039",Data!$A:$A,DATE(2026,5,12)),"")</f>
        <v/>
      </c>
      <c r="O23" s="134">
        <f>IFERROR(SUMIFS(Data!$F:$F,Data!$B:$B,"แฟชั่น 3",Data!$C:$C,"FS26-0039",Data!$A:$A,DATE(2026,5,13)),"")</f>
        <v/>
      </c>
      <c r="P23" s="134">
        <f>IFERROR(SUMIFS(Data!$F:$F,Data!$B:$B,"แฟชั่น 3",Data!$C:$C,"FS26-0039",Data!$A:$A,DATE(2026,5,14)),"")</f>
        <v/>
      </c>
      <c r="Q23" s="134">
        <f>IFERROR(SUMIFS(Data!$F:$F,Data!$B:$B,"แฟชั่น 3",Data!$C:$C,"FS26-0039",Data!$A:$A,DATE(2026,5,15)),"")</f>
        <v/>
      </c>
      <c r="R23" s="134">
        <f>IFERROR(SUMIFS(Data!$F:$F,Data!$B:$B,"แฟชั่น 3",Data!$C:$C,"FS26-0039",Data!$A:$A,DATE(2026,5,16)),"")</f>
        <v/>
      </c>
      <c r="S23" s="134">
        <f>IFERROR(SUMIFS(Data!$F:$F,Data!$B:$B,"แฟชั่น 3",Data!$C:$C,"FS26-0039",Data!$A:$A,DATE(2026,5,17)),"")</f>
        <v/>
      </c>
      <c r="T23" s="134">
        <f>IFERROR(SUMIFS(Data!$F:$F,Data!$B:$B,"แฟชั่น 3",Data!$C:$C,"FS26-0039",Data!$A:$A,DATE(2026,5,18)),"")</f>
        <v/>
      </c>
      <c r="U23" s="134">
        <f>IFERROR(SUMIFS(Data!$F:$F,Data!$B:$B,"แฟชั่น 3",Data!$C:$C,"FS26-0039",Data!$A:$A,DATE(2026,5,19)),"")</f>
        <v/>
      </c>
      <c r="V23" s="134">
        <f>IFERROR(SUMIFS(Data!$F:$F,Data!$B:$B,"แฟชั่น 3",Data!$C:$C,"FS26-0039",Data!$A:$A,DATE(2026,5,20)),"")</f>
        <v/>
      </c>
      <c r="W23" s="134">
        <f>IFERROR(SUMIFS(Data!$F:$F,Data!$B:$B,"แฟชั่น 3",Data!$C:$C,"FS26-0039",Data!$A:$A,DATE(2026,5,21)),"")</f>
        <v/>
      </c>
      <c r="X23" s="134">
        <f>IFERROR(SUMIFS(Data!$F:$F,Data!$B:$B,"แฟชั่น 3",Data!$C:$C,"FS26-0039",Data!$A:$A,DATE(2026,5,22)),"")</f>
        <v/>
      </c>
      <c r="Y23" s="134">
        <f>IFERROR(SUMIFS(Data!$F:$F,Data!$B:$B,"แฟชั่น 3",Data!$C:$C,"FS26-0039",Data!$A:$A,DATE(2026,5,23)),"")</f>
        <v/>
      </c>
      <c r="Z23" s="134">
        <f>IFERROR(SUMIFS(Data!$F:$F,Data!$B:$B,"แฟชั่น 3",Data!$C:$C,"FS26-0039",Data!$A:$A,DATE(2026,5,24)),"")</f>
        <v/>
      </c>
      <c r="AA23" s="134">
        <f>IFERROR(SUMIFS(Data!$F:$F,Data!$B:$B,"แฟชั่น 3",Data!$C:$C,"FS26-0039",Data!$A:$A,DATE(2026,5,25)),"")</f>
        <v/>
      </c>
      <c r="AB23" s="134">
        <f>IFERROR(SUMIFS(Data!$F:$F,Data!$B:$B,"แฟชั่น 3",Data!$C:$C,"FS26-0039",Data!$A:$A,DATE(2026,5,26)),"")</f>
        <v/>
      </c>
      <c r="AC23" s="134">
        <f>IFERROR(SUMIFS(Data!$F:$F,Data!$B:$B,"แฟชั่น 3",Data!$C:$C,"FS26-0039",Data!$A:$A,DATE(2026,5,27)),"")</f>
        <v/>
      </c>
      <c r="AD23" s="134">
        <f>IFERROR(SUMIFS(Data!$F:$F,Data!$B:$B,"แฟชั่น 3",Data!$C:$C,"FS26-0039",Data!$A:$A,DATE(2026,5,28)),"")</f>
        <v/>
      </c>
      <c r="AE23" s="134">
        <f>IFERROR(SUMIFS(Data!$F:$F,Data!$B:$B,"แฟชั่น 3",Data!$C:$C,"FS26-0039",Data!$A:$A,DATE(2026,5,29)),"")</f>
        <v/>
      </c>
      <c r="AF23" s="134">
        <f>IFERROR(SUMIFS(Data!$F:$F,Data!$B:$B,"แฟชั่น 3",Data!$C:$C,"FS26-0039",Data!$A:$A,DATE(2026,5,30)),"")</f>
        <v/>
      </c>
      <c r="AG23" s="134">
        <f>IFERROR(SUMIFS(Data!$F:$F,Data!$B:$B,"แฟชั่น 3",Data!$C:$C,"FS26-0039",Data!$A:$A,DATE(2026,5,31)),"")</f>
        <v/>
      </c>
      <c r="AH23" s="77">
        <f>IFERROR(SUM(C23:AG23),0)</f>
        <v/>
      </c>
      <c r="AI23" s="77">
        <f>AH23*45</f>
        <v/>
      </c>
      <c r="AJ23" s="135">
        <f>IFERROR(AI23/AI27,0)</f>
        <v/>
      </c>
    </row>
    <row r="24" ht="19" customHeight="1" s="87">
      <c r="A24" s="69" t="inlineStr">
        <is>
          <t>FS26-0044</t>
        </is>
      </c>
      <c r="B24" s="70" t="inlineStr">
        <is>
          <t>ข้าวไก่ทอดซอสกะเพรา</t>
        </is>
      </c>
      <c r="C24" s="132">
        <f>IFERROR(SUMIFS(Data!$F:$F,Data!$B:$B,"แฟชั่น 3",Data!$C:$C,"FS26-0044",Data!$A:$A,DATE(2026,5,1)),"")</f>
        <v/>
      </c>
      <c r="D24" s="132">
        <f>IFERROR(SUMIFS(Data!$F:$F,Data!$B:$B,"แฟชั่น 3",Data!$C:$C,"FS26-0044",Data!$A:$A,DATE(2026,5,2)),"")</f>
        <v/>
      </c>
      <c r="E24" s="132">
        <f>IFERROR(SUMIFS(Data!$F:$F,Data!$B:$B,"แฟชั่น 3",Data!$C:$C,"FS26-0044",Data!$A:$A,DATE(2026,5,3)),"")</f>
        <v/>
      </c>
      <c r="F24" s="132">
        <f>IFERROR(SUMIFS(Data!$F:$F,Data!$B:$B,"แฟชั่น 3",Data!$C:$C,"FS26-0044",Data!$A:$A,DATE(2026,5,4)),"")</f>
        <v/>
      </c>
      <c r="G24" s="132">
        <f>IFERROR(SUMIFS(Data!$F:$F,Data!$B:$B,"แฟชั่น 3",Data!$C:$C,"FS26-0044",Data!$A:$A,DATE(2026,5,5)),"")</f>
        <v/>
      </c>
      <c r="H24" s="132">
        <f>IFERROR(SUMIFS(Data!$F:$F,Data!$B:$B,"แฟชั่น 3",Data!$C:$C,"FS26-0044",Data!$A:$A,DATE(2026,5,6)),"")</f>
        <v/>
      </c>
      <c r="I24" s="132">
        <f>IFERROR(SUMIFS(Data!$F:$F,Data!$B:$B,"แฟชั่น 3",Data!$C:$C,"FS26-0044",Data!$A:$A,DATE(2026,5,7)),"")</f>
        <v/>
      </c>
      <c r="J24" s="132">
        <f>IFERROR(SUMIFS(Data!$F:$F,Data!$B:$B,"แฟชั่น 3",Data!$C:$C,"FS26-0044",Data!$A:$A,DATE(2026,5,8)),"")</f>
        <v/>
      </c>
      <c r="K24" s="132">
        <f>IFERROR(SUMIFS(Data!$F:$F,Data!$B:$B,"แฟชั่น 3",Data!$C:$C,"FS26-0044",Data!$A:$A,DATE(2026,5,9)),"")</f>
        <v/>
      </c>
      <c r="L24" s="132">
        <f>IFERROR(SUMIFS(Data!$F:$F,Data!$B:$B,"แฟชั่น 3",Data!$C:$C,"FS26-0044",Data!$A:$A,DATE(2026,5,10)),"")</f>
        <v/>
      </c>
      <c r="M24" s="132">
        <f>IFERROR(SUMIFS(Data!$F:$F,Data!$B:$B,"แฟชั่น 3",Data!$C:$C,"FS26-0044",Data!$A:$A,DATE(2026,5,11)),"")</f>
        <v/>
      </c>
      <c r="N24" s="132">
        <f>IFERROR(SUMIFS(Data!$F:$F,Data!$B:$B,"แฟชั่น 3",Data!$C:$C,"FS26-0044",Data!$A:$A,DATE(2026,5,12)),"")</f>
        <v/>
      </c>
      <c r="O24" s="132">
        <f>IFERROR(SUMIFS(Data!$F:$F,Data!$B:$B,"แฟชั่น 3",Data!$C:$C,"FS26-0044",Data!$A:$A,DATE(2026,5,13)),"")</f>
        <v/>
      </c>
      <c r="P24" s="132">
        <f>IFERROR(SUMIFS(Data!$F:$F,Data!$B:$B,"แฟชั่น 3",Data!$C:$C,"FS26-0044",Data!$A:$A,DATE(2026,5,14)),"")</f>
        <v/>
      </c>
      <c r="Q24" s="132">
        <f>IFERROR(SUMIFS(Data!$F:$F,Data!$B:$B,"แฟชั่น 3",Data!$C:$C,"FS26-0044",Data!$A:$A,DATE(2026,5,15)),"")</f>
        <v/>
      </c>
      <c r="R24" s="132">
        <f>IFERROR(SUMIFS(Data!$F:$F,Data!$B:$B,"แฟชั่น 3",Data!$C:$C,"FS26-0044",Data!$A:$A,DATE(2026,5,16)),"")</f>
        <v/>
      </c>
      <c r="S24" s="132">
        <f>IFERROR(SUMIFS(Data!$F:$F,Data!$B:$B,"แฟชั่น 3",Data!$C:$C,"FS26-0044",Data!$A:$A,DATE(2026,5,17)),"")</f>
        <v/>
      </c>
      <c r="T24" s="132">
        <f>IFERROR(SUMIFS(Data!$F:$F,Data!$B:$B,"แฟชั่น 3",Data!$C:$C,"FS26-0044",Data!$A:$A,DATE(2026,5,18)),"")</f>
        <v/>
      </c>
      <c r="U24" s="132">
        <f>IFERROR(SUMIFS(Data!$F:$F,Data!$B:$B,"แฟชั่น 3",Data!$C:$C,"FS26-0044",Data!$A:$A,DATE(2026,5,19)),"")</f>
        <v/>
      </c>
      <c r="V24" s="132">
        <f>IFERROR(SUMIFS(Data!$F:$F,Data!$B:$B,"แฟชั่น 3",Data!$C:$C,"FS26-0044",Data!$A:$A,DATE(2026,5,20)),"")</f>
        <v/>
      </c>
      <c r="W24" s="132">
        <f>IFERROR(SUMIFS(Data!$F:$F,Data!$B:$B,"แฟชั่น 3",Data!$C:$C,"FS26-0044",Data!$A:$A,DATE(2026,5,21)),"")</f>
        <v/>
      </c>
      <c r="X24" s="132">
        <f>IFERROR(SUMIFS(Data!$F:$F,Data!$B:$B,"แฟชั่น 3",Data!$C:$C,"FS26-0044",Data!$A:$A,DATE(2026,5,22)),"")</f>
        <v/>
      </c>
      <c r="Y24" s="132">
        <f>IFERROR(SUMIFS(Data!$F:$F,Data!$B:$B,"แฟชั่น 3",Data!$C:$C,"FS26-0044",Data!$A:$A,DATE(2026,5,23)),"")</f>
        <v/>
      </c>
      <c r="Z24" s="132">
        <f>IFERROR(SUMIFS(Data!$F:$F,Data!$B:$B,"แฟชั่น 3",Data!$C:$C,"FS26-0044",Data!$A:$A,DATE(2026,5,24)),"")</f>
        <v/>
      </c>
      <c r="AA24" s="132">
        <f>IFERROR(SUMIFS(Data!$F:$F,Data!$B:$B,"แฟชั่น 3",Data!$C:$C,"FS26-0044",Data!$A:$A,DATE(2026,5,25)),"")</f>
        <v/>
      </c>
      <c r="AB24" s="132">
        <f>IFERROR(SUMIFS(Data!$F:$F,Data!$B:$B,"แฟชั่น 3",Data!$C:$C,"FS26-0044",Data!$A:$A,DATE(2026,5,26)),"")</f>
        <v/>
      </c>
      <c r="AC24" s="132">
        <f>IFERROR(SUMIFS(Data!$F:$F,Data!$B:$B,"แฟชั่น 3",Data!$C:$C,"FS26-0044",Data!$A:$A,DATE(2026,5,27)),"")</f>
        <v/>
      </c>
      <c r="AD24" s="132">
        <f>IFERROR(SUMIFS(Data!$F:$F,Data!$B:$B,"แฟชั่น 3",Data!$C:$C,"FS26-0044",Data!$A:$A,DATE(2026,5,28)),"")</f>
        <v/>
      </c>
      <c r="AE24" s="132">
        <f>IFERROR(SUMIFS(Data!$F:$F,Data!$B:$B,"แฟชั่น 3",Data!$C:$C,"FS26-0044",Data!$A:$A,DATE(2026,5,29)),"")</f>
        <v/>
      </c>
      <c r="AF24" s="132">
        <f>IFERROR(SUMIFS(Data!$F:$F,Data!$B:$B,"แฟชั่น 3",Data!$C:$C,"FS26-0044",Data!$A:$A,DATE(2026,5,30)),"")</f>
        <v/>
      </c>
      <c r="AG24" s="132">
        <f>IFERROR(SUMIFS(Data!$F:$F,Data!$B:$B,"แฟชั่น 3",Data!$C:$C,"FS26-0044",Data!$A:$A,DATE(2026,5,31)),"")</f>
        <v/>
      </c>
      <c r="AH24" s="72">
        <f>IFERROR(SUM(C24:AG24),0)</f>
        <v/>
      </c>
      <c r="AI24" s="72">
        <f>AH24*60</f>
        <v/>
      </c>
      <c r="AJ24" s="133">
        <f>IFERROR(AI24/AI27,0)</f>
        <v/>
      </c>
    </row>
    <row r="25" ht="19" customHeight="1" s="87">
      <c r="A25" s="74" t="inlineStr">
        <is>
          <t>FS26-0045</t>
        </is>
      </c>
      <c r="B25" s="75" t="inlineStr">
        <is>
          <t>ข้าวปลาดอลลี่ซอสกะเพรา</t>
        </is>
      </c>
      <c r="C25" s="134">
        <f>IFERROR(SUMIFS(Data!$F:$F,Data!$B:$B,"แฟชั่น 3",Data!$C:$C,"FS26-0045",Data!$A:$A,DATE(2026,5,1)),"")</f>
        <v/>
      </c>
      <c r="D25" s="134">
        <f>IFERROR(SUMIFS(Data!$F:$F,Data!$B:$B,"แฟชั่น 3",Data!$C:$C,"FS26-0045",Data!$A:$A,DATE(2026,5,2)),"")</f>
        <v/>
      </c>
      <c r="E25" s="134">
        <f>IFERROR(SUMIFS(Data!$F:$F,Data!$B:$B,"แฟชั่น 3",Data!$C:$C,"FS26-0045",Data!$A:$A,DATE(2026,5,3)),"")</f>
        <v/>
      </c>
      <c r="F25" s="134">
        <f>IFERROR(SUMIFS(Data!$F:$F,Data!$B:$B,"แฟชั่น 3",Data!$C:$C,"FS26-0045",Data!$A:$A,DATE(2026,5,4)),"")</f>
        <v/>
      </c>
      <c r="G25" s="134">
        <f>IFERROR(SUMIFS(Data!$F:$F,Data!$B:$B,"แฟชั่น 3",Data!$C:$C,"FS26-0045",Data!$A:$A,DATE(2026,5,5)),"")</f>
        <v/>
      </c>
      <c r="H25" s="134">
        <f>IFERROR(SUMIFS(Data!$F:$F,Data!$B:$B,"แฟชั่น 3",Data!$C:$C,"FS26-0045",Data!$A:$A,DATE(2026,5,6)),"")</f>
        <v/>
      </c>
      <c r="I25" s="134">
        <f>IFERROR(SUMIFS(Data!$F:$F,Data!$B:$B,"แฟชั่น 3",Data!$C:$C,"FS26-0045",Data!$A:$A,DATE(2026,5,7)),"")</f>
        <v/>
      </c>
      <c r="J25" s="134">
        <f>IFERROR(SUMIFS(Data!$F:$F,Data!$B:$B,"แฟชั่น 3",Data!$C:$C,"FS26-0045",Data!$A:$A,DATE(2026,5,8)),"")</f>
        <v/>
      </c>
      <c r="K25" s="134">
        <f>IFERROR(SUMIFS(Data!$F:$F,Data!$B:$B,"แฟชั่น 3",Data!$C:$C,"FS26-0045",Data!$A:$A,DATE(2026,5,9)),"")</f>
        <v/>
      </c>
      <c r="L25" s="134">
        <f>IFERROR(SUMIFS(Data!$F:$F,Data!$B:$B,"แฟชั่น 3",Data!$C:$C,"FS26-0045",Data!$A:$A,DATE(2026,5,10)),"")</f>
        <v/>
      </c>
      <c r="M25" s="134">
        <f>IFERROR(SUMIFS(Data!$F:$F,Data!$B:$B,"แฟชั่น 3",Data!$C:$C,"FS26-0045",Data!$A:$A,DATE(2026,5,11)),"")</f>
        <v/>
      </c>
      <c r="N25" s="134">
        <f>IFERROR(SUMIFS(Data!$F:$F,Data!$B:$B,"แฟชั่น 3",Data!$C:$C,"FS26-0045",Data!$A:$A,DATE(2026,5,12)),"")</f>
        <v/>
      </c>
      <c r="O25" s="134">
        <f>IFERROR(SUMIFS(Data!$F:$F,Data!$B:$B,"แฟชั่น 3",Data!$C:$C,"FS26-0045",Data!$A:$A,DATE(2026,5,13)),"")</f>
        <v/>
      </c>
      <c r="P25" s="134">
        <f>IFERROR(SUMIFS(Data!$F:$F,Data!$B:$B,"แฟชั่น 3",Data!$C:$C,"FS26-0045",Data!$A:$A,DATE(2026,5,14)),"")</f>
        <v/>
      </c>
      <c r="Q25" s="134">
        <f>IFERROR(SUMIFS(Data!$F:$F,Data!$B:$B,"แฟชั่น 3",Data!$C:$C,"FS26-0045",Data!$A:$A,DATE(2026,5,15)),"")</f>
        <v/>
      </c>
      <c r="R25" s="134">
        <f>IFERROR(SUMIFS(Data!$F:$F,Data!$B:$B,"แฟชั่น 3",Data!$C:$C,"FS26-0045",Data!$A:$A,DATE(2026,5,16)),"")</f>
        <v/>
      </c>
      <c r="S25" s="134">
        <f>IFERROR(SUMIFS(Data!$F:$F,Data!$B:$B,"แฟชั่น 3",Data!$C:$C,"FS26-0045",Data!$A:$A,DATE(2026,5,17)),"")</f>
        <v/>
      </c>
      <c r="T25" s="134">
        <f>IFERROR(SUMIFS(Data!$F:$F,Data!$B:$B,"แฟชั่น 3",Data!$C:$C,"FS26-0045",Data!$A:$A,DATE(2026,5,18)),"")</f>
        <v/>
      </c>
      <c r="U25" s="134">
        <f>IFERROR(SUMIFS(Data!$F:$F,Data!$B:$B,"แฟชั่น 3",Data!$C:$C,"FS26-0045",Data!$A:$A,DATE(2026,5,19)),"")</f>
        <v/>
      </c>
      <c r="V25" s="134">
        <f>IFERROR(SUMIFS(Data!$F:$F,Data!$B:$B,"แฟชั่น 3",Data!$C:$C,"FS26-0045",Data!$A:$A,DATE(2026,5,20)),"")</f>
        <v/>
      </c>
      <c r="W25" s="134">
        <f>IFERROR(SUMIFS(Data!$F:$F,Data!$B:$B,"แฟชั่น 3",Data!$C:$C,"FS26-0045",Data!$A:$A,DATE(2026,5,21)),"")</f>
        <v/>
      </c>
      <c r="X25" s="134">
        <f>IFERROR(SUMIFS(Data!$F:$F,Data!$B:$B,"แฟชั่น 3",Data!$C:$C,"FS26-0045",Data!$A:$A,DATE(2026,5,22)),"")</f>
        <v/>
      </c>
      <c r="Y25" s="134">
        <f>IFERROR(SUMIFS(Data!$F:$F,Data!$B:$B,"แฟชั่น 3",Data!$C:$C,"FS26-0045",Data!$A:$A,DATE(2026,5,23)),"")</f>
        <v/>
      </c>
      <c r="Z25" s="134">
        <f>IFERROR(SUMIFS(Data!$F:$F,Data!$B:$B,"แฟชั่น 3",Data!$C:$C,"FS26-0045",Data!$A:$A,DATE(2026,5,24)),"")</f>
        <v/>
      </c>
      <c r="AA25" s="134">
        <f>IFERROR(SUMIFS(Data!$F:$F,Data!$B:$B,"แฟชั่น 3",Data!$C:$C,"FS26-0045",Data!$A:$A,DATE(2026,5,25)),"")</f>
        <v/>
      </c>
      <c r="AB25" s="134">
        <f>IFERROR(SUMIFS(Data!$F:$F,Data!$B:$B,"แฟชั่น 3",Data!$C:$C,"FS26-0045",Data!$A:$A,DATE(2026,5,26)),"")</f>
        <v/>
      </c>
      <c r="AC25" s="134">
        <f>IFERROR(SUMIFS(Data!$F:$F,Data!$B:$B,"แฟชั่น 3",Data!$C:$C,"FS26-0045",Data!$A:$A,DATE(2026,5,27)),"")</f>
        <v/>
      </c>
      <c r="AD25" s="134">
        <f>IFERROR(SUMIFS(Data!$F:$F,Data!$B:$B,"แฟชั่น 3",Data!$C:$C,"FS26-0045",Data!$A:$A,DATE(2026,5,28)),"")</f>
        <v/>
      </c>
      <c r="AE25" s="134">
        <f>IFERROR(SUMIFS(Data!$F:$F,Data!$B:$B,"แฟชั่น 3",Data!$C:$C,"FS26-0045",Data!$A:$A,DATE(2026,5,29)),"")</f>
        <v/>
      </c>
      <c r="AF25" s="134">
        <f>IFERROR(SUMIFS(Data!$F:$F,Data!$B:$B,"แฟชั่น 3",Data!$C:$C,"FS26-0045",Data!$A:$A,DATE(2026,5,30)),"")</f>
        <v/>
      </c>
      <c r="AG25" s="134">
        <f>IFERROR(SUMIFS(Data!$F:$F,Data!$B:$B,"แฟชั่น 3",Data!$C:$C,"FS26-0045",Data!$A:$A,DATE(2026,5,31)),"")</f>
        <v/>
      </c>
      <c r="AH25" s="77">
        <f>IFERROR(SUM(C25:AG25),0)</f>
        <v/>
      </c>
      <c r="AI25" s="77">
        <f>AH25*60</f>
        <v/>
      </c>
      <c r="AJ25" s="135">
        <f>IFERROR(AI25/AI27,0)</f>
        <v/>
      </c>
    </row>
    <row r="26" ht="3.75" customHeight="1" s="87"/>
    <row r="27" ht="24" customHeight="1" s="87">
      <c r="A27" s="79" t="n"/>
      <c r="B27" s="34" t="inlineStr">
        <is>
          <t>รวมทั้งหมด</t>
        </is>
      </c>
      <c r="C27" s="80">
        <f>IFERROR(SUM(C4:C25),0)</f>
        <v/>
      </c>
      <c r="D27" s="80">
        <f>IFERROR(SUM(D4:D25),0)</f>
        <v/>
      </c>
      <c r="E27" s="80">
        <f>IFERROR(SUM(E4:E25),0)</f>
        <v/>
      </c>
      <c r="F27" s="80">
        <f>IFERROR(SUM(F4:F25),0)</f>
        <v/>
      </c>
      <c r="G27" s="80">
        <f>IFERROR(SUM(G4:G25),0)</f>
        <v/>
      </c>
      <c r="H27" s="80">
        <f>IFERROR(SUM(H4:H25),0)</f>
        <v/>
      </c>
      <c r="I27" s="80">
        <f>IFERROR(SUM(I4:I25),0)</f>
        <v/>
      </c>
      <c r="J27" s="80">
        <f>IFERROR(SUM(J4:J25),0)</f>
        <v/>
      </c>
      <c r="K27" s="80">
        <f>IFERROR(SUM(K4:K25),0)</f>
        <v/>
      </c>
      <c r="L27" s="80">
        <f>IFERROR(SUM(L4:L25),0)</f>
        <v/>
      </c>
      <c r="M27" s="80">
        <f>IFERROR(SUM(M4:M25),0)</f>
        <v/>
      </c>
      <c r="N27" s="80">
        <f>IFERROR(SUM(N4:N25),0)</f>
        <v/>
      </c>
      <c r="O27" s="80">
        <f>IFERROR(SUM(O4:O25),0)</f>
        <v/>
      </c>
      <c r="P27" s="80">
        <f>IFERROR(SUM(P4:P25),0)</f>
        <v/>
      </c>
      <c r="Q27" s="80">
        <f>IFERROR(SUM(Q4:Q25),0)</f>
        <v/>
      </c>
      <c r="R27" s="80">
        <f>IFERROR(SUM(R4:R25),0)</f>
        <v/>
      </c>
      <c r="S27" s="80">
        <f>IFERROR(SUM(S4:S25),0)</f>
        <v/>
      </c>
      <c r="T27" s="80">
        <f>IFERROR(SUM(T4:T25),0)</f>
        <v/>
      </c>
      <c r="U27" s="80">
        <f>IFERROR(SUM(U4:U25),0)</f>
        <v/>
      </c>
      <c r="V27" s="80">
        <f>IFERROR(SUM(V4:V25),0)</f>
        <v/>
      </c>
      <c r="W27" s="80">
        <f>IFERROR(SUM(W4:W25),0)</f>
        <v/>
      </c>
      <c r="X27" s="80">
        <f>IFERROR(SUM(X4:X25),0)</f>
        <v/>
      </c>
      <c r="Y27" s="80">
        <f>IFERROR(SUM(Y4:Y25),0)</f>
        <v/>
      </c>
      <c r="Z27" s="80">
        <f>IFERROR(SUM(Z4:Z25),0)</f>
        <v/>
      </c>
      <c r="AA27" s="80">
        <f>IFERROR(SUM(AA4:AA25),0)</f>
        <v/>
      </c>
      <c r="AB27" s="80">
        <f>IFERROR(SUM(AB4:AB25),0)</f>
        <v/>
      </c>
      <c r="AC27" s="80">
        <f>IFERROR(SUM(AC4:AC25),0)</f>
        <v/>
      </c>
      <c r="AD27" s="80">
        <f>IFERROR(SUM(AD4:AD25),0)</f>
        <v/>
      </c>
      <c r="AE27" s="80">
        <f>IFERROR(SUM(AE4:AE25),0)</f>
        <v/>
      </c>
      <c r="AF27" s="80">
        <f>IFERROR(SUM(AF4:AF25),0)</f>
        <v/>
      </c>
      <c r="AG27" s="80">
        <f>IFERROR(SUM(AG4:AG25),0)</f>
        <v/>
      </c>
      <c r="AH27" s="35">
        <f>IFERROR(SUM(AH4:AH25),0)</f>
        <v/>
      </c>
      <c r="AI27" s="35">
        <f>IFERROR(SUM(AI4:AI25),0)</f>
        <v/>
      </c>
      <c r="AJ27" s="79" t="n"/>
    </row>
    <row r="28" ht="3.75" customHeight="1" s="87"/>
    <row r="29" ht="24" customHeight="1" s="87">
      <c r="A29" s="113" t="inlineStr">
        <is>
          <t>ยอดรวมจาก Data (฿)</t>
        </is>
      </c>
      <c r="B29" s="117" t="n"/>
      <c r="C29" s="136">
        <f>IFERROR(SUMIFS(Data!$F:$F,Data!$B:$B,"แฟชั่น 3",Data!$A:$A,DATE(2026,5,1)),"—")</f>
        <v/>
      </c>
      <c r="D29" s="136">
        <f>IFERROR(SUMIFS(Data!$F:$F,Data!$B:$B,"แฟชั่น 3",Data!$A:$A,DATE(2026,5,2)),"—")</f>
        <v/>
      </c>
      <c r="E29" s="136">
        <f>IFERROR(SUMIFS(Data!$F:$F,Data!$B:$B,"แฟชั่น 3",Data!$A:$A,DATE(2026,5,3)),"—")</f>
        <v/>
      </c>
      <c r="F29" s="136">
        <f>IFERROR(SUMIFS(Data!$F:$F,Data!$B:$B,"แฟชั่น 3",Data!$A:$A,DATE(2026,5,4)),"—")</f>
        <v/>
      </c>
      <c r="G29" s="136">
        <f>IFERROR(SUMIFS(Data!$F:$F,Data!$B:$B,"แฟชั่น 3",Data!$A:$A,DATE(2026,5,5)),"—")</f>
        <v/>
      </c>
      <c r="H29" s="136">
        <f>IFERROR(SUMIFS(Data!$F:$F,Data!$B:$B,"แฟชั่น 3",Data!$A:$A,DATE(2026,5,6)),"—")</f>
        <v/>
      </c>
      <c r="I29" s="136">
        <f>IFERROR(SUMIFS(Data!$F:$F,Data!$B:$B,"แฟชั่น 3",Data!$A:$A,DATE(2026,5,7)),"—")</f>
        <v/>
      </c>
      <c r="J29" s="136">
        <f>IFERROR(SUMIFS(Data!$F:$F,Data!$B:$B,"แฟชั่น 3",Data!$A:$A,DATE(2026,5,8)),"—")</f>
        <v/>
      </c>
      <c r="K29" s="136">
        <f>IFERROR(SUMIFS(Data!$F:$F,Data!$B:$B,"แฟชั่น 3",Data!$A:$A,DATE(2026,5,9)),"—")</f>
        <v/>
      </c>
      <c r="L29" s="136">
        <f>IFERROR(SUMIFS(Data!$F:$F,Data!$B:$B,"แฟชั่น 3",Data!$A:$A,DATE(2026,5,10)),"—")</f>
        <v/>
      </c>
      <c r="M29" s="136">
        <f>IFERROR(SUMIFS(Data!$F:$F,Data!$B:$B,"แฟชั่น 3",Data!$A:$A,DATE(2026,5,11)),"—")</f>
        <v/>
      </c>
      <c r="N29" s="136">
        <f>IFERROR(SUMIFS(Data!$F:$F,Data!$B:$B,"แฟชั่น 3",Data!$A:$A,DATE(2026,5,12)),"—")</f>
        <v/>
      </c>
      <c r="O29" s="136">
        <f>IFERROR(SUMIFS(Data!$F:$F,Data!$B:$B,"แฟชั่น 3",Data!$A:$A,DATE(2026,5,13)),"—")</f>
        <v/>
      </c>
      <c r="P29" s="136">
        <f>IFERROR(SUMIFS(Data!$F:$F,Data!$B:$B,"แฟชั่น 3",Data!$A:$A,DATE(2026,5,14)),"—")</f>
        <v/>
      </c>
      <c r="Q29" s="136">
        <f>IFERROR(SUMIFS(Data!$F:$F,Data!$B:$B,"แฟชั่น 3",Data!$A:$A,DATE(2026,5,15)),"—")</f>
        <v/>
      </c>
      <c r="R29" s="136">
        <f>IFERROR(SUMIFS(Data!$F:$F,Data!$B:$B,"แฟชั่น 3",Data!$A:$A,DATE(2026,5,16)),"—")</f>
        <v/>
      </c>
      <c r="S29" s="136">
        <f>IFERROR(SUMIFS(Data!$F:$F,Data!$B:$B,"แฟชั่น 3",Data!$A:$A,DATE(2026,5,17)),"—")</f>
        <v/>
      </c>
      <c r="T29" s="136">
        <f>IFERROR(SUMIFS(Data!$F:$F,Data!$B:$B,"แฟชั่น 3",Data!$A:$A,DATE(2026,5,18)),"—")</f>
        <v/>
      </c>
      <c r="U29" s="136">
        <f>IFERROR(SUMIFS(Data!$F:$F,Data!$B:$B,"แฟชั่น 3",Data!$A:$A,DATE(2026,5,19)),"—")</f>
        <v/>
      </c>
      <c r="V29" s="136">
        <f>IFERROR(SUMIFS(Data!$F:$F,Data!$B:$B,"แฟชั่น 3",Data!$A:$A,DATE(2026,5,20)),"—")</f>
        <v/>
      </c>
      <c r="W29" s="136">
        <f>IFERROR(SUMIFS(Data!$F:$F,Data!$B:$B,"แฟชั่น 3",Data!$A:$A,DATE(2026,5,21)),"—")</f>
        <v/>
      </c>
      <c r="X29" s="136">
        <f>IFERROR(SUMIFS(Data!$F:$F,Data!$B:$B,"แฟชั่น 3",Data!$A:$A,DATE(2026,5,22)),"—")</f>
        <v/>
      </c>
      <c r="Y29" s="136">
        <f>IFERROR(SUMIFS(Data!$F:$F,Data!$B:$B,"แฟชั่น 3",Data!$A:$A,DATE(2026,5,23)),"—")</f>
        <v/>
      </c>
      <c r="Z29" s="136">
        <f>IFERROR(SUMIFS(Data!$F:$F,Data!$B:$B,"แฟชั่น 3",Data!$A:$A,DATE(2026,5,24)),"—")</f>
        <v/>
      </c>
      <c r="AA29" s="136">
        <f>IFERROR(SUMIFS(Data!$F:$F,Data!$B:$B,"แฟชั่น 3",Data!$A:$A,DATE(2026,5,25)),"—")</f>
        <v/>
      </c>
      <c r="AB29" s="136">
        <f>IFERROR(SUMIFS(Data!$F:$F,Data!$B:$B,"แฟชั่น 3",Data!$A:$A,DATE(2026,5,26)),"—")</f>
        <v/>
      </c>
      <c r="AC29" s="136">
        <f>IFERROR(SUMIFS(Data!$F:$F,Data!$B:$B,"แฟชั่น 3",Data!$A:$A,DATE(2026,5,27)),"—")</f>
        <v/>
      </c>
      <c r="AD29" s="136">
        <f>IFERROR(SUMIFS(Data!$F:$F,Data!$B:$B,"แฟชั่น 3",Data!$A:$A,DATE(2026,5,28)),"—")</f>
        <v/>
      </c>
      <c r="AE29" s="136">
        <f>IFERROR(SUMIFS(Data!$F:$F,Data!$B:$B,"แฟชั่น 3",Data!$A:$A,DATE(2026,5,29)),"—")</f>
        <v/>
      </c>
      <c r="AF29" s="136">
        <f>IFERROR(SUMIFS(Data!$F:$F,Data!$B:$B,"แฟชั่น 3",Data!$A:$A,DATE(2026,5,30)),"—")</f>
        <v/>
      </c>
      <c r="AG29" s="136">
        <f>IFERROR(SUMIFS(Data!$F:$F,Data!$B:$B,"แฟชั่น 3",Data!$A:$A,DATE(2026,5,31)),"—")</f>
        <v/>
      </c>
      <c r="AH29" s="82">
        <f>IFERROR(SUMIFS(Data!$F:$F,Data!$B:$B,"แฟชั่น 3",Data!$A:$A,"&gt;="&amp;DATE(2026,5,1),Data!$A:$A,"&lt;="&amp;DATE(2026,5,31)),0)</f>
        <v/>
      </c>
      <c r="AK29" s="83">
        <f>IFERROR(SUMIFS(Data!$F:$F,Data!$B:$B,"แฟชั่น 3",Data!$A:$A,"&gt;="&amp;DATE(2026,5,1),Data!$A:$A,"&lt;="&amp;DATE(2026,5,15)),0)</f>
        <v/>
      </c>
      <c r="AL29" s="83">
        <f>IFERROR(SUMIFS(Data!$F:$F,Data!$B:$B,"แฟชั่น 3",Data!$A:$A,"&gt;="&amp;DATE(2026,5,16),Data!$A:$A,"&lt;="&amp;DATE(2026,5,31)),0)</f>
        <v/>
      </c>
      <c r="AM29" s="84">
        <f>AK29*0.7</f>
        <v/>
      </c>
      <c r="AN29" s="84">
        <f>AL29*0.7</f>
        <v/>
      </c>
    </row>
  </sheetData>
  <mergeCells count="2">
    <mergeCell ref="A29:B29"/>
    <mergeCell ref="A1:A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87" min="1" max="1"/>
    <col width="28" customWidth="1" style="87" min="2" max="2"/>
    <col width="7" customWidth="1" style="87" min="3" max="33"/>
    <col width="11" customWidth="1" style="87" min="34" max="34"/>
    <col width="12" customWidth="1" style="87" min="35" max="35"/>
    <col width="11" customWidth="1" style="87" min="36" max="36"/>
    <col width="13" customWidth="1" style="87" min="37" max="38"/>
    <col width="14" customWidth="1" style="87" min="39" max="40"/>
  </cols>
  <sheetData>
    <row r="1" ht="27.75" customHeight="1" s="87">
      <c r="A1" s="115" t="inlineStr">
        <is>
          <t>สาขา แฟชั่น B — ยอดขายรายเมนู พฤษภาคม 2569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7" t="n"/>
    </row>
    <row r="2" ht="6" customHeight="1" s="87"/>
    <row r="3" ht="21.75" customHeight="1" s="87">
      <c r="A3" s="108" t="inlineStr">
        <is>
          <t>Item_Code</t>
        </is>
      </c>
      <c r="B3" s="57" t="inlineStr">
        <is>
          <t>ชื่อเมนู</t>
        </is>
      </c>
      <c r="C3" s="63" t="inlineStr">
        <is>
          <t>ศ
1/5</t>
        </is>
      </c>
      <c r="D3" s="63" t="inlineStr">
        <is>
          <t>ส
2/5</t>
        </is>
      </c>
      <c r="E3" s="63" t="inlineStr">
        <is>
          <t>อา
3/5</t>
        </is>
      </c>
      <c r="F3" s="63" t="inlineStr">
        <is>
          <t>จ
4/5</t>
        </is>
      </c>
      <c r="G3" s="63" t="inlineStr">
        <is>
          <t>อ
5/5</t>
        </is>
      </c>
      <c r="H3" s="63" t="inlineStr">
        <is>
          <t>พ
6/5</t>
        </is>
      </c>
      <c r="I3" s="63" t="inlineStr">
        <is>
          <t>พฤ
7/5</t>
        </is>
      </c>
      <c r="J3" s="63" t="inlineStr">
        <is>
          <t>ศ
8/5</t>
        </is>
      </c>
      <c r="K3" s="63" t="inlineStr">
        <is>
          <t>ส
9/5</t>
        </is>
      </c>
      <c r="L3" s="63" t="inlineStr">
        <is>
          <t>อา
10/5</t>
        </is>
      </c>
      <c r="M3" s="63" t="inlineStr">
        <is>
          <t>จ
11/5</t>
        </is>
      </c>
      <c r="N3" s="63" t="inlineStr">
        <is>
          <t>อ
12/5</t>
        </is>
      </c>
      <c r="O3" s="63" t="inlineStr">
        <is>
          <t>พ
13/5</t>
        </is>
      </c>
      <c r="P3" s="63" t="inlineStr">
        <is>
          <t>พฤ
14/5</t>
        </is>
      </c>
      <c r="Q3" s="63" t="inlineStr">
        <is>
          <t>ศ
15/5</t>
        </is>
      </c>
      <c r="R3" s="63" t="inlineStr">
        <is>
          <t>ส
16/5</t>
        </is>
      </c>
      <c r="S3" s="63" t="inlineStr">
        <is>
          <t>อา
17/5</t>
        </is>
      </c>
      <c r="T3" s="63" t="inlineStr">
        <is>
          <t>จ
18/5</t>
        </is>
      </c>
      <c r="U3" s="63" t="inlineStr">
        <is>
          <t>อ
19/5</t>
        </is>
      </c>
      <c r="V3" s="63" t="inlineStr">
        <is>
          <t>พ
20/5</t>
        </is>
      </c>
      <c r="W3" s="63" t="inlineStr">
        <is>
          <t>พฤ
21/5</t>
        </is>
      </c>
      <c r="X3" s="63" t="inlineStr">
        <is>
          <t>ศ
22/5</t>
        </is>
      </c>
      <c r="Y3" s="63" t="inlineStr">
        <is>
          <t>ส
23/5</t>
        </is>
      </c>
      <c r="Z3" s="63" t="inlineStr">
        <is>
          <t>อา
24/5</t>
        </is>
      </c>
      <c r="AA3" s="63" t="inlineStr">
        <is>
          <t>จ
25/5</t>
        </is>
      </c>
      <c r="AB3" s="63" t="inlineStr">
        <is>
          <t>อ
26/5</t>
        </is>
      </c>
      <c r="AC3" s="63" t="inlineStr">
        <is>
          <t>พ
27/5</t>
        </is>
      </c>
      <c r="AD3" s="63" t="inlineStr">
        <is>
          <t>พฤ
28/5</t>
        </is>
      </c>
      <c r="AE3" s="63" t="inlineStr">
        <is>
          <t>ศ
29/5</t>
        </is>
      </c>
      <c r="AF3" s="63" t="inlineStr">
        <is>
          <t>ส
30/5</t>
        </is>
      </c>
      <c r="AG3" s="63" t="inlineStr">
        <is>
          <t>อา
31/5</t>
        </is>
      </c>
      <c r="AH3" s="106" t="inlineStr">
        <is>
          <t>รวม (จาน)</t>
        </is>
      </c>
      <c r="AI3" s="106" t="inlineStr">
        <is>
          <t>รวม (฿)</t>
        </is>
      </c>
      <c r="AJ3" s="106" t="inlineStr">
        <is>
          <t>%</t>
        </is>
      </c>
      <c r="AK3" s="106" t="inlineStr">
        <is>
          <t>ยอดขาย 1-15</t>
        </is>
      </c>
      <c r="AL3" s="106" t="inlineStr">
        <is>
          <t>ยอดขาย 16-31</t>
        </is>
      </c>
      <c r="AM3" s="37" t="inlineStr">
        <is>
          <t>ยอดรับ 1-15</t>
        </is>
      </c>
      <c r="AN3" s="37" t="inlineStr">
        <is>
          <t>ยอดรับ 16-31</t>
        </is>
      </c>
    </row>
    <row r="4" ht="19" customHeight="1" s="87">
      <c r="A4" s="64" t="inlineStr">
        <is>
          <t>FMFC033-001</t>
        </is>
      </c>
      <c r="B4" s="65" t="inlineStr">
        <is>
          <t>ข้าวมันไก่ต้ม</t>
        </is>
      </c>
      <c r="C4" s="130">
        <f>IFERROR(SUMIFS(Data!$F:$F,Data!$B:$B,"แฟชั่น B",Data!$C:$C,"FMFC033-001",Data!$A:$A,DATE(2026,5,1)),"")</f>
        <v/>
      </c>
      <c r="D4" s="130">
        <f>IFERROR(SUMIFS(Data!$F:$F,Data!$B:$B,"แฟชั่น B",Data!$C:$C,"FMFC033-001",Data!$A:$A,DATE(2026,5,2)),"")</f>
        <v/>
      </c>
      <c r="E4" s="130">
        <f>IFERROR(SUMIFS(Data!$F:$F,Data!$B:$B,"แฟชั่น B",Data!$C:$C,"FMFC033-001",Data!$A:$A,DATE(2026,5,3)),"")</f>
        <v/>
      </c>
      <c r="F4" s="130">
        <f>IFERROR(SUMIFS(Data!$F:$F,Data!$B:$B,"แฟชั่น B",Data!$C:$C,"FMFC033-001",Data!$A:$A,DATE(2026,5,4)),"")</f>
        <v/>
      </c>
      <c r="G4" s="130">
        <f>IFERROR(SUMIFS(Data!$F:$F,Data!$B:$B,"แฟชั่น B",Data!$C:$C,"FMFC033-001",Data!$A:$A,DATE(2026,5,5)),"")</f>
        <v/>
      </c>
      <c r="H4" s="130">
        <f>IFERROR(SUMIFS(Data!$F:$F,Data!$B:$B,"แฟชั่น B",Data!$C:$C,"FMFC033-001",Data!$A:$A,DATE(2026,5,6)),"")</f>
        <v/>
      </c>
      <c r="I4" s="130">
        <f>IFERROR(SUMIFS(Data!$F:$F,Data!$B:$B,"แฟชั่น B",Data!$C:$C,"FMFC033-001",Data!$A:$A,DATE(2026,5,7)),"")</f>
        <v/>
      </c>
      <c r="J4" s="130">
        <f>IFERROR(SUMIFS(Data!$F:$F,Data!$B:$B,"แฟชั่น B",Data!$C:$C,"FMFC033-001",Data!$A:$A,DATE(2026,5,8)),"")</f>
        <v/>
      </c>
      <c r="K4" s="130">
        <f>IFERROR(SUMIFS(Data!$F:$F,Data!$B:$B,"แฟชั่น B",Data!$C:$C,"FMFC033-001",Data!$A:$A,DATE(2026,5,9)),"")</f>
        <v/>
      </c>
      <c r="L4" s="130">
        <f>IFERROR(SUMIFS(Data!$F:$F,Data!$B:$B,"แฟชั่น B",Data!$C:$C,"FMFC033-001",Data!$A:$A,DATE(2026,5,10)),"")</f>
        <v/>
      </c>
      <c r="M4" s="130">
        <f>IFERROR(SUMIFS(Data!$F:$F,Data!$B:$B,"แฟชั่น B",Data!$C:$C,"FMFC033-001",Data!$A:$A,DATE(2026,5,11)),"")</f>
        <v/>
      </c>
      <c r="N4" s="130">
        <f>IFERROR(SUMIFS(Data!$F:$F,Data!$B:$B,"แฟชั่น B",Data!$C:$C,"FMFC033-001",Data!$A:$A,DATE(2026,5,12)),"")</f>
        <v/>
      </c>
      <c r="O4" s="130">
        <f>IFERROR(SUMIFS(Data!$F:$F,Data!$B:$B,"แฟชั่น B",Data!$C:$C,"FMFC033-001",Data!$A:$A,DATE(2026,5,13)),"")</f>
        <v/>
      </c>
      <c r="P4" s="130">
        <f>IFERROR(SUMIFS(Data!$F:$F,Data!$B:$B,"แฟชั่น B",Data!$C:$C,"FMFC033-001",Data!$A:$A,DATE(2026,5,14)),"")</f>
        <v/>
      </c>
      <c r="Q4" s="130">
        <f>IFERROR(SUMIFS(Data!$F:$F,Data!$B:$B,"แฟชั่น B",Data!$C:$C,"FMFC033-001",Data!$A:$A,DATE(2026,5,15)),"")</f>
        <v/>
      </c>
      <c r="R4" s="130">
        <f>IFERROR(SUMIFS(Data!$F:$F,Data!$B:$B,"แฟชั่น B",Data!$C:$C,"FMFC033-001",Data!$A:$A,DATE(2026,5,16)),"")</f>
        <v/>
      </c>
      <c r="S4" s="130">
        <f>IFERROR(SUMIFS(Data!$F:$F,Data!$B:$B,"แฟชั่น B",Data!$C:$C,"FMFC033-001",Data!$A:$A,DATE(2026,5,17)),"")</f>
        <v/>
      </c>
      <c r="T4" s="130">
        <f>IFERROR(SUMIFS(Data!$F:$F,Data!$B:$B,"แฟชั่น B",Data!$C:$C,"FMFC033-001",Data!$A:$A,DATE(2026,5,18)),"")</f>
        <v/>
      </c>
      <c r="U4" s="130">
        <f>IFERROR(SUMIFS(Data!$F:$F,Data!$B:$B,"แฟชั่น B",Data!$C:$C,"FMFC033-001",Data!$A:$A,DATE(2026,5,19)),"")</f>
        <v/>
      </c>
      <c r="V4" s="130">
        <f>IFERROR(SUMIFS(Data!$F:$F,Data!$B:$B,"แฟชั่น B",Data!$C:$C,"FMFC033-001",Data!$A:$A,DATE(2026,5,20)),"")</f>
        <v/>
      </c>
      <c r="W4" s="130">
        <f>IFERROR(SUMIFS(Data!$F:$F,Data!$B:$B,"แฟชั่น B",Data!$C:$C,"FMFC033-001",Data!$A:$A,DATE(2026,5,21)),"")</f>
        <v/>
      </c>
      <c r="X4" s="130">
        <f>IFERROR(SUMIFS(Data!$F:$F,Data!$B:$B,"แฟชั่น B",Data!$C:$C,"FMFC033-001",Data!$A:$A,DATE(2026,5,22)),"")</f>
        <v/>
      </c>
      <c r="Y4" s="130">
        <f>IFERROR(SUMIFS(Data!$F:$F,Data!$B:$B,"แฟชั่น B",Data!$C:$C,"FMFC033-001",Data!$A:$A,DATE(2026,5,23)),"")</f>
        <v/>
      </c>
      <c r="Z4" s="130">
        <f>IFERROR(SUMIFS(Data!$F:$F,Data!$B:$B,"แฟชั่น B",Data!$C:$C,"FMFC033-001",Data!$A:$A,DATE(2026,5,24)),"")</f>
        <v/>
      </c>
      <c r="AA4" s="130">
        <f>IFERROR(SUMIFS(Data!$F:$F,Data!$B:$B,"แฟชั่น B",Data!$C:$C,"FMFC033-001",Data!$A:$A,DATE(2026,5,25)),"")</f>
        <v/>
      </c>
      <c r="AB4" s="130">
        <f>IFERROR(SUMIFS(Data!$F:$F,Data!$B:$B,"แฟชั่น B",Data!$C:$C,"FMFC033-001",Data!$A:$A,DATE(2026,5,26)),"")</f>
        <v/>
      </c>
      <c r="AC4" s="130">
        <f>IFERROR(SUMIFS(Data!$F:$F,Data!$B:$B,"แฟชั่น B",Data!$C:$C,"FMFC033-001",Data!$A:$A,DATE(2026,5,27)),"")</f>
        <v/>
      </c>
      <c r="AD4" s="130">
        <f>IFERROR(SUMIFS(Data!$F:$F,Data!$B:$B,"แฟชั่น B",Data!$C:$C,"FMFC033-001",Data!$A:$A,DATE(2026,5,28)),"")</f>
        <v/>
      </c>
      <c r="AE4" s="130">
        <f>IFERROR(SUMIFS(Data!$F:$F,Data!$B:$B,"แฟชั่น B",Data!$C:$C,"FMFC033-001",Data!$A:$A,DATE(2026,5,29)),"")</f>
        <v/>
      </c>
      <c r="AF4" s="130">
        <f>IFERROR(SUMIFS(Data!$F:$F,Data!$B:$B,"แฟชั่น B",Data!$C:$C,"FMFC033-001",Data!$A:$A,DATE(2026,5,30)),"")</f>
        <v/>
      </c>
      <c r="AG4" s="130">
        <f>IFERROR(SUMIFS(Data!$F:$F,Data!$B:$B,"แฟชั่น B",Data!$C:$C,"FMFC033-001",Data!$A:$A,DATE(2026,5,31)),"")</f>
        <v/>
      </c>
      <c r="AH4" s="67">
        <f>IFERROR(SUM(C4:AG4),0)</f>
        <v/>
      </c>
      <c r="AI4" s="67">
        <f>AH4*60</f>
        <v/>
      </c>
      <c r="AJ4" s="131">
        <f>IFERROR(AI4/AI16,0)</f>
        <v/>
      </c>
    </row>
    <row r="5" ht="19" customHeight="1" s="87">
      <c r="A5" s="64" t="inlineStr">
        <is>
          <t>FMFC033-002</t>
        </is>
      </c>
      <c r="B5" s="65" t="inlineStr">
        <is>
          <t>ข้าวมันไก่ทอด</t>
        </is>
      </c>
      <c r="C5" s="130">
        <f>IFERROR(SUMIFS(Data!$F:$F,Data!$B:$B,"แฟชั่น B",Data!$C:$C,"FMFC033-002",Data!$A:$A,DATE(2026,5,1)),"")</f>
        <v/>
      </c>
      <c r="D5" s="130">
        <f>IFERROR(SUMIFS(Data!$F:$F,Data!$B:$B,"แฟชั่น B",Data!$C:$C,"FMFC033-002",Data!$A:$A,DATE(2026,5,2)),"")</f>
        <v/>
      </c>
      <c r="E5" s="130">
        <f>IFERROR(SUMIFS(Data!$F:$F,Data!$B:$B,"แฟชั่น B",Data!$C:$C,"FMFC033-002",Data!$A:$A,DATE(2026,5,3)),"")</f>
        <v/>
      </c>
      <c r="F5" s="130">
        <f>IFERROR(SUMIFS(Data!$F:$F,Data!$B:$B,"แฟชั่น B",Data!$C:$C,"FMFC033-002",Data!$A:$A,DATE(2026,5,4)),"")</f>
        <v/>
      </c>
      <c r="G5" s="130">
        <f>IFERROR(SUMIFS(Data!$F:$F,Data!$B:$B,"แฟชั่น B",Data!$C:$C,"FMFC033-002",Data!$A:$A,DATE(2026,5,5)),"")</f>
        <v/>
      </c>
      <c r="H5" s="130">
        <f>IFERROR(SUMIFS(Data!$F:$F,Data!$B:$B,"แฟชั่น B",Data!$C:$C,"FMFC033-002",Data!$A:$A,DATE(2026,5,6)),"")</f>
        <v/>
      </c>
      <c r="I5" s="130">
        <f>IFERROR(SUMIFS(Data!$F:$F,Data!$B:$B,"แฟชั่น B",Data!$C:$C,"FMFC033-002",Data!$A:$A,DATE(2026,5,7)),"")</f>
        <v/>
      </c>
      <c r="J5" s="130">
        <f>IFERROR(SUMIFS(Data!$F:$F,Data!$B:$B,"แฟชั่น B",Data!$C:$C,"FMFC033-002",Data!$A:$A,DATE(2026,5,8)),"")</f>
        <v/>
      </c>
      <c r="K5" s="130">
        <f>IFERROR(SUMIFS(Data!$F:$F,Data!$B:$B,"แฟชั่น B",Data!$C:$C,"FMFC033-002",Data!$A:$A,DATE(2026,5,9)),"")</f>
        <v/>
      </c>
      <c r="L5" s="130">
        <f>IFERROR(SUMIFS(Data!$F:$F,Data!$B:$B,"แฟชั่น B",Data!$C:$C,"FMFC033-002",Data!$A:$A,DATE(2026,5,10)),"")</f>
        <v/>
      </c>
      <c r="M5" s="130">
        <f>IFERROR(SUMIFS(Data!$F:$F,Data!$B:$B,"แฟชั่น B",Data!$C:$C,"FMFC033-002",Data!$A:$A,DATE(2026,5,11)),"")</f>
        <v/>
      </c>
      <c r="N5" s="130">
        <f>IFERROR(SUMIFS(Data!$F:$F,Data!$B:$B,"แฟชั่น B",Data!$C:$C,"FMFC033-002",Data!$A:$A,DATE(2026,5,12)),"")</f>
        <v/>
      </c>
      <c r="O5" s="130">
        <f>IFERROR(SUMIFS(Data!$F:$F,Data!$B:$B,"แฟชั่น B",Data!$C:$C,"FMFC033-002",Data!$A:$A,DATE(2026,5,13)),"")</f>
        <v/>
      </c>
      <c r="P5" s="130">
        <f>IFERROR(SUMIFS(Data!$F:$F,Data!$B:$B,"แฟชั่น B",Data!$C:$C,"FMFC033-002",Data!$A:$A,DATE(2026,5,14)),"")</f>
        <v/>
      </c>
      <c r="Q5" s="130">
        <f>IFERROR(SUMIFS(Data!$F:$F,Data!$B:$B,"แฟชั่น B",Data!$C:$C,"FMFC033-002",Data!$A:$A,DATE(2026,5,15)),"")</f>
        <v/>
      </c>
      <c r="R5" s="130">
        <f>IFERROR(SUMIFS(Data!$F:$F,Data!$B:$B,"แฟชั่น B",Data!$C:$C,"FMFC033-002",Data!$A:$A,DATE(2026,5,16)),"")</f>
        <v/>
      </c>
      <c r="S5" s="130">
        <f>IFERROR(SUMIFS(Data!$F:$F,Data!$B:$B,"แฟชั่น B",Data!$C:$C,"FMFC033-002",Data!$A:$A,DATE(2026,5,17)),"")</f>
        <v/>
      </c>
      <c r="T5" s="130">
        <f>IFERROR(SUMIFS(Data!$F:$F,Data!$B:$B,"แฟชั่น B",Data!$C:$C,"FMFC033-002",Data!$A:$A,DATE(2026,5,18)),"")</f>
        <v/>
      </c>
      <c r="U5" s="130">
        <f>IFERROR(SUMIFS(Data!$F:$F,Data!$B:$B,"แฟชั่น B",Data!$C:$C,"FMFC033-002",Data!$A:$A,DATE(2026,5,19)),"")</f>
        <v/>
      </c>
      <c r="V5" s="130">
        <f>IFERROR(SUMIFS(Data!$F:$F,Data!$B:$B,"แฟชั่น B",Data!$C:$C,"FMFC033-002",Data!$A:$A,DATE(2026,5,20)),"")</f>
        <v/>
      </c>
      <c r="W5" s="130">
        <f>IFERROR(SUMIFS(Data!$F:$F,Data!$B:$B,"แฟชั่น B",Data!$C:$C,"FMFC033-002",Data!$A:$A,DATE(2026,5,21)),"")</f>
        <v/>
      </c>
      <c r="X5" s="130">
        <f>IFERROR(SUMIFS(Data!$F:$F,Data!$B:$B,"แฟชั่น B",Data!$C:$C,"FMFC033-002",Data!$A:$A,DATE(2026,5,22)),"")</f>
        <v/>
      </c>
      <c r="Y5" s="130">
        <f>IFERROR(SUMIFS(Data!$F:$F,Data!$B:$B,"แฟชั่น B",Data!$C:$C,"FMFC033-002",Data!$A:$A,DATE(2026,5,23)),"")</f>
        <v/>
      </c>
      <c r="Z5" s="130">
        <f>IFERROR(SUMIFS(Data!$F:$F,Data!$B:$B,"แฟชั่น B",Data!$C:$C,"FMFC033-002",Data!$A:$A,DATE(2026,5,24)),"")</f>
        <v/>
      </c>
      <c r="AA5" s="130">
        <f>IFERROR(SUMIFS(Data!$F:$F,Data!$B:$B,"แฟชั่น B",Data!$C:$C,"FMFC033-002",Data!$A:$A,DATE(2026,5,25)),"")</f>
        <v/>
      </c>
      <c r="AB5" s="130">
        <f>IFERROR(SUMIFS(Data!$F:$F,Data!$B:$B,"แฟชั่น B",Data!$C:$C,"FMFC033-002",Data!$A:$A,DATE(2026,5,26)),"")</f>
        <v/>
      </c>
      <c r="AC5" s="130">
        <f>IFERROR(SUMIFS(Data!$F:$F,Data!$B:$B,"แฟชั่น B",Data!$C:$C,"FMFC033-002",Data!$A:$A,DATE(2026,5,27)),"")</f>
        <v/>
      </c>
      <c r="AD5" s="130">
        <f>IFERROR(SUMIFS(Data!$F:$F,Data!$B:$B,"แฟชั่น B",Data!$C:$C,"FMFC033-002",Data!$A:$A,DATE(2026,5,28)),"")</f>
        <v/>
      </c>
      <c r="AE5" s="130">
        <f>IFERROR(SUMIFS(Data!$F:$F,Data!$B:$B,"แฟชั่น B",Data!$C:$C,"FMFC033-002",Data!$A:$A,DATE(2026,5,29)),"")</f>
        <v/>
      </c>
      <c r="AF5" s="130">
        <f>IFERROR(SUMIFS(Data!$F:$F,Data!$B:$B,"แฟชั่น B",Data!$C:$C,"FMFC033-002",Data!$A:$A,DATE(2026,5,30)),"")</f>
        <v/>
      </c>
      <c r="AG5" s="130">
        <f>IFERROR(SUMIFS(Data!$F:$F,Data!$B:$B,"แฟชั่น B",Data!$C:$C,"FMFC033-002",Data!$A:$A,DATE(2026,5,31)),"")</f>
        <v/>
      </c>
      <c r="AH5" s="67">
        <f>IFERROR(SUM(C5:AG5),0)</f>
        <v/>
      </c>
      <c r="AI5" s="67">
        <f>AH5*60</f>
        <v/>
      </c>
      <c r="AJ5" s="131">
        <f>IFERROR(AI5/AI16,0)</f>
        <v/>
      </c>
    </row>
    <row r="6" ht="19" customHeight="1" s="87">
      <c r="A6" s="69" t="inlineStr">
        <is>
          <t>FMFC033-003</t>
        </is>
      </c>
      <c r="B6" s="70" t="inlineStr">
        <is>
          <t>ข้าวยำไก่แซ่บ</t>
        </is>
      </c>
      <c r="C6" s="132">
        <f>IFERROR(SUMIFS(Data!$F:$F,Data!$B:$B,"แฟชั่น B",Data!$C:$C,"FMFC033-003",Data!$A:$A,DATE(2026,5,1)),"")</f>
        <v/>
      </c>
      <c r="D6" s="132">
        <f>IFERROR(SUMIFS(Data!$F:$F,Data!$B:$B,"แฟชั่น B",Data!$C:$C,"FMFC033-003",Data!$A:$A,DATE(2026,5,2)),"")</f>
        <v/>
      </c>
      <c r="E6" s="132">
        <f>IFERROR(SUMIFS(Data!$F:$F,Data!$B:$B,"แฟชั่น B",Data!$C:$C,"FMFC033-003",Data!$A:$A,DATE(2026,5,3)),"")</f>
        <v/>
      </c>
      <c r="F6" s="132">
        <f>IFERROR(SUMIFS(Data!$F:$F,Data!$B:$B,"แฟชั่น B",Data!$C:$C,"FMFC033-003",Data!$A:$A,DATE(2026,5,4)),"")</f>
        <v/>
      </c>
      <c r="G6" s="132">
        <f>IFERROR(SUMIFS(Data!$F:$F,Data!$B:$B,"แฟชั่น B",Data!$C:$C,"FMFC033-003",Data!$A:$A,DATE(2026,5,5)),"")</f>
        <v/>
      </c>
      <c r="H6" s="132">
        <f>IFERROR(SUMIFS(Data!$F:$F,Data!$B:$B,"แฟชั่น B",Data!$C:$C,"FMFC033-003",Data!$A:$A,DATE(2026,5,6)),"")</f>
        <v/>
      </c>
      <c r="I6" s="132">
        <f>IFERROR(SUMIFS(Data!$F:$F,Data!$B:$B,"แฟชั่น B",Data!$C:$C,"FMFC033-003",Data!$A:$A,DATE(2026,5,7)),"")</f>
        <v/>
      </c>
      <c r="J6" s="132">
        <f>IFERROR(SUMIFS(Data!$F:$F,Data!$B:$B,"แฟชั่น B",Data!$C:$C,"FMFC033-003",Data!$A:$A,DATE(2026,5,8)),"")</f>
        <v/>
      </c>
      <c r="K6" s="132">
        <f>IFERROR(SUMIFS(Data!$F:$F,Data!$B:$B,"แฟชั่น B",Data!$C:$C,"FMFC033-003",Data!$A:$A,DATE(2026,5,9)),"")</f>
        <v/>
      </c>
      <c r="L6" s="132">
        <f>IFERROR(SUMIFS(Data!$F:$F,Data!$B:$B,"แฟชั่น B",Data!$C:$C,"FMFC033-003",Data!$A:$A,DATE(2026,5,10)),"")</f>
        <v/>
      </c>
      <c r="M6" s="132">
        <f>IFERROR(SUMIFS(Data!$F:$F,Data!$B:$B,"แฟชั่น B",Data!$C:$C,"FMFC033-003",Data!$A:$A,DATE(2026,5,11)),"")</f>
        <v/>
      </c>
      <c r="N6" s="132">
        <f>IFERROR(SUMIFS(Data!$F:$F,Data!$B:$B,"แฟชั่น B",Data!$C:$C,"FMFC033-003",Data!$A:$A,DATE(2026,5,12)),"")</f>
        <v/>
      </c>
      <c r="O6" s="132">
        <f>IFERROR(SUMIFS(Data!$F:$F,Data!$B:$B,"แฟชั่น B",Data!$C:$C,"FMFC033-003",Data!$A:$A,DATE(2026,5,13)),"")</f>
        <v/>
      </c>
      <c r="P6" s="132">
        <f>IFERROR(SUMIFS(Data!$F:$F,Data!$B:$B,"แฟชั่น B",Data!$C:$C,"FMFC033-003",Data!$A:$A,DATE(2026,5,14)),"")</f>
        <v/>
      </c>
      <c r="Q6" s="132">
        <f>IFERROR(SUMIFS(Data!$F:$F,Data!$B:$B,"แฟชั่น B",Data!$C:$C,"FMFC033-003",Data!$A:$A,DATE(2026,5,15)),"")</f>
        <v/>
      </c>
      <c r="R6" s="132">
        <f>IFERROR(SUMIFS(Data!$F:$F,Data!$B:$B,"แฟชั่น B",Data!$C:$C,"FMFC033-003",Data!$A:$A,DATE(2026,5,16)),"")</f>
        <v/>
      </c>
      <c r="S6" s="132">
        <f>IFERROR(SUMIFS(Data!$F:$F,Data!$B:$B,"แฟชั่น B",Data!$C:$C,"FMFC033-003",Data!$A:$A,DATE(2026,5,17)),"")</f>
        <v/>
      </c>
      <c r="T6" s="132">
        <f>IFERROR(SUMIFS(Data!$F:$F,Data!$B:$B,"แฟชั่น B",Data!$C:$C,"FMFC033-003",Data!$A:$A,DATE(2026,5,18)),"")</f>
        <v/>
      </c>
      <c r="U6" s="132">
        <f>IFERROR(SUMIFS(Data!$F:$F,Data!$B:$B,"แฟชั่น B",Data!$C:$C,"FMFC033-003",Data!$A:$A,DATE(2026,5,19)),"")</f>
        <v/>
      </c>
      <c r="V6" s="132">
        <f>IFERROR(SUMIFS(Data!$F:$F,Data!$B:$B,"แฟชั่น B",Data!$C:$C,"FMFC033-003",Data!$A:$A,DATE(2026,5,20)),"")</f>
        <v/>
      </c>
      <c r="W6" s="132">
        <f>IFERROR(SUMIFS(Data!$F:$F,Data!$B:$B,"แฟชั่น B",Data!$C:$C,"FMFC033-003",Data!$A:$A,DATE(2026,5,21)),"")</f>
        <v/>
      </c>
      <c r="X6" s="132">
        <f>IFERROR(SUMIFS(Data!$F:$F,Data!$B:$B,"แฟชั่น B",Data!$C:$C,"FMFC033-003",Data!$A:$A,DATE(2026,5,22)),"")</f>
        <v/>
      </c>
      <c r="Y6" s="132">
        <f>IFERROR(SUMIFS(Data!$F:$F,Data!$B:$B,"แฟชั่น B",Data!$C:$C,"FMFC033-003",Data!$A:$A,DATE(2026,5,23)),"")</f>
        <v/>
      </c>
      <c r="Z6" s="132">
        <f>IFERROR(SUMIFS(Data!$F:$F,Data!$B:$B,"แฟชั่น B",Data!$C:$C,"FMFC033-003",Data!$A:$A,DATE(2026,5,24)),"")</f>
        <v/>
      </c>
      <c r="AA6" s="132">
        <f>IFERROR(SUMIFS(Data!$F:$F,Data!$B:$B,"แฟชั่น B",Data!$C:$C,"FMFC033-003",Data!$A:$A,DATE(2026,5,25)),"")</f>
        <v/>
      </c>
      <c r="AB6" s="132">
        <f>IFERROR(SUMIFS(Data!$F:$F,Data!$B:$B,"แฟชั่น B",Data!$C:$C,"FMFC033-003",Data!$A:$A,DATE(2026,5,26)),"")</f>
        <v/>
      </c>
      <c r="AC6" s="132">
        <f>IFERROR(SUMIFS(Data!$F:$F,Data!$B:$B,"แฟชั่น B",Data!$C:$C,"FMFC033-003",Data!$A:$A,DATE(2026,5,27)),"")</f>
        <v/>
      </c>
      <c r="AD6" s="132">
        <f>IFERROR(SUMIFS(Data!$F:$F,Data!$B:$B,"แฟชั่น B",Data!$C:$C,"FMFC033-003",Data!$A:$A,DATE(2026,5,28)),"")</f>
        <v/>
      </c>
      <c r="AE6" s="132">
        <f>IFERROR(SUMIFS(Data!$F:$F,Data!$B:$B,"แฟชั่น B",Data!$C:$C,"FMFC033-003",Data!$A:$A,DATE(2026,5,29)),"")</f>
        <v/>
      </c>
      <c r="AF6" s="132">
        <f>IFERROR(SUMIFS(Data!$F:$F,Data!$B:$B,"แฟชั่น B",Data!$C:$C,"FMFC033-003",Data!$A:$A,DATE(2026,5,30)),"")</f>
        <v/>
      </c>
      <c r="AG6" s="132">
        <f>IFERROR(SUMIFS(Data!$F:$F,Data!$B:$B,"แฟชั่น B",Data!$C:$C,"FMFC033-003",Data!$A:$A,DATE(2026,5,31)),"")</f>
        <v/>
      </c>
      <c r="AH6" s="72">
        <f>IFERROR(SUM(C6:AG6),0)</f>
        <v/>
      </c>
      <c r="AI6" s="72">
        <f>AH6*60</f>
        <v/>
      </c>
      <c r="AJ6" s="133">
        <f>IFERROR(AI6/AI16,0)</f>
        <v/>
      </c>
    </row>
    <row r="7" ht="19" customHeight="1" s="87">
      <c r="A7" s="74" t="inlineStr">
        <is>
          <t>FMFC033-006</t>
        </is>
      </c>
      <c r="B7" s="75" t="inlineStr">
        <is>
          <t>ข้าวมันเปล่า</t>
        </is>
      </c>
      <c r="C7" s="134">
        <f>IFERROR(SUMIFS(Data!$F:$F,Data!$B:$B,"แฟชั่น B",Data!$C:$C,"FMFC033-006",Data!$A:$A,DATE(2026,5,1)),"")</f>
        <v/>
      </c>
      <c r="D7" s="134">
        <f>IFERROR(SUMIFS(Data!$F:$F,Data!$B:$B,"แฟชั่น B",Data!$C:$C,"FMFC033-006",Data!$A:$A,DATE(2026,5,2)),"")</f>
        <v/>
      </c>
      <c r="E7" s="134">
        <f>IFERROR(SUMIFS(Data!$F:$F,Data!$B:$B,"แฟชั่น B",Data!$C:$C,"FMFC033-006",Data!$A:$A,DATE(2026,5,3)),"")</f>
        <v/>
      </c>
      <c r="F7" s="134">
        <f>IFERROR(SUMIFS(Data!$F:$F,Data!$B:$B,"แฟชั่น B",Data!$C:$C,"FMFC033-006",Data!$A:$A,DATE(2026,5,4)),"")</f>
        <v/>
      </c>
      <c r="G7" s="134">
        <f>IFERROR(SUMIFS(Data!$F:$F,Data!$B:$B,"แฟชั่น B",Data!$C:$C,"FMFC033-006",Data!$A:$A,DATE(2026,5,5)),"")</f>
        <v/>
      </c>
      <c r="H7" s="134">
        <f>IFERROR(SUMIFS(Data!$F:$F,Data!$B:$B,"แฟชั่น B",Data!$C:$C,"FMFC033-006",Data!$A:$A,DATE(2026,5,6)),"")</f>
        <v/>
      </c>
      <c r="I7" s="134">
        <f>IFERROR(SUMIFS(Data!$F:$F,Data!$B:$B,"แฟชั่น B",Data!$C:$C,"FMFC033-006",Data!$A:$A,DATE(2026,5,7)),"")</f>
        <v/>
      </c>
      <c r="J7" s="134">
        <f>IFERROR(SUMIFS(Data!$F:$F,Data!$B:$B,"แฟชั่น B",Data!$C:$C,"FMFC033-006",Data!$A:$A,DATE(2026,5,8)),"")</f>
        <v/>
      </c>
      <c r="K7" s="134">
        <f>IFERROR(SUMIFS(Data!$F:$F,Data!$B:$B,"แฟชั่น B",Data!$C:$C,"FMFC033-006",Data!$A:$A,DATE(2026,5,9)),"")</f>
        <v/>
      </c>
      <c r="L7" s="134">
        <f>IFERROR(SUMIFS(Data!$F:$F,Data!$B:$B,"แฟชั่น B",Data!$C:$C,"FMFC033-006",Data!$A:$A,DATE(2026,5,10)),"")</f>
        <v/>
      </c>
      <c r="M7" s="134">
        <f>IFERROR(SUMIFS(Data!$F:$F,Data!$B:$B,"แฟชั่น B",Data!$C:$C,"FMFC033-006",Data!$A:$A,DATE(2026,5,11)),"")</f>
        <v/>
      </c>
      <c r="N7" s="134">
        <f>IFERROR(SUMIFS(Data!$F:$F,Data!$B:$B,"แฟชั่น B",Data!$C:$C,"FMFC033-006",Data!$A:$A,DATE(2026,5,12)),"")</f>
        <v/>
      </c>
      <c r="O7" s="134">
        <f>IFERROR(SUMIFS(Data!$F:$F,Data!$B:$B,"แฟชั่น B",Data!$C:$C,"FMFC033-006",Data!$A:$A,DATE(2026,5,13)),"")</f>
        <v/>
      </c>
      <c r="P7" s="134">
        <f>IFERROR(SUMIFS(Data!$F:$F,Data!$B:$B,"แฟชั่น B",Data!$C:$C,"FMFC033-006",Data!$A:$A,DATE(2026,5,14)),"")</f>
        <v/>
      </c>
      <c r="Q7" s="134">
        <f>IFERROR(SUMIFS(Data!$F:$F,Data!$B:$B,"แฟชั่น B",Data!$C:$C,"FMFC033-006",Data!$A:$A,DATE(2026,5,15)),"")</f>
        <v/>
      </c>
      <c r="R7" s="134">
        <f>IFERROR(SUMIFS(Data!$F:$F,Data!$B:$B,"แฟชั่น B",Data!$C:$C,"FMFC033-006",Data!$A:$A,DATE(2026,5,16)),"")</f>
        <v/>
      </c>
      <c r="S7" s="134">
        <f>IFERROR(SUMIFS(Data!$F:$F,Data!$B:$B,"แฟชั่น B",Data!$C:$C,"FMFC033-006",Data!$A:$A,DATE(2026,5,17)),"")</f>
        <v/>
      </c>
      <c r="T7" s="134">
        <f>IFERROR(SUMIFS(Data!$F:$F,Data!$B:$B,"แฟชั่น B",Data!$C:$C,"FMFC033-006",Data!$A:$A,DATE(2026,5,18)),"")</f>
        <v/>
      </c>
      <c r="U7" s="134">
        <f>IFERROR(SUMIFS(Data!$F:$F,Data!$B:$B,"แฟชั่น B",Data!$C:$C,"FMFC033-006",Data!$A:$A,DATE(2026,5,19)),"")</f>
        <v/>
      </c>
      <c r="V7" s="134">
        <f>IFERROR(SUMIFS(Data!$F:$F,Data!$B:$B,"แฟชั่น B",Data!$C:$C,"FMFC033-006",Data!$A:$A,DATE(2026,5,20)),"")</f>
        <v/>
      </c>
      <c r="W7" s="134">
        <f>IFERROR(SUMIFS(Data!$F:$F,Data!$B:$B,"แฟชั่น B",Data!$C:$C,"FMFC033-006",Data!$A:$A,DATE(2026,5,21)),"")</f>
        <v/>
      </c>
      <c r="X7" s="134">
        <f>IFERROR(SUMIFS(Data!$F:$F,Data!$B:$B,"แฟชั่น B",Data!$C:$C,"FMFC033-006",Data!$A:$A,DATE(2026,5,22)),"")</f>
        <v/>
      </c>
      <c r="Y7" s="134">
        <f>IFERROR(SUMIFS(Data!$F:$F,Data!$B:$B,"แฟชั่น B",Data!$C:$C,"FMFC033-006",Data!$A:$A,DATE(2026,5,23)),"")</f>
        <v/>
      </c>
      <c r="Z7" s="134">
        <f>IFERROR(SUMIFS(Data!$F:$F,Data!$B:$B,"แฟชั่น B",Data!$C:$C,"FMFC033-006",Data!$A:$A,DATE(2026,5,24)),"")</f>
        <v/>
      </c>
      <c r="AA7" s="134">
        <f>IFERROR(SUMIFS(Data!$F:$F,Data!$B:$B,"แฟชั่น B",Data!$C:$C,"FMFC033-006",Data!$A:$A,DATE(2026,5,25)),"")</f>
        <v/>
      </c>
      <c r="AB7" s="134">
        <f>IFERROR(SUMIFS(Data!$F:$F,Data!$B:$B,"แฟชั่น B",Data!$C:$C,"FMFC033-006",Data!$A:$A,DATE(2026,5,26)),"")</f>
        <v/>
      </c>
      <c r="AC7" s="134">
        <f>IFERROR(SUMIFS(Data!$F:$F,Data!$B:$B,"แฟชั่น B",Data!$C:$C,"FMFC033-006",Data!$A:$A,DATE(2026,5,27)),"")</f>
        <v/>
      </c>
      <c r="AD7" s="134">
        <f>IFERROR(SUMIFS(Data!$F:$F,Data!$B:$B,"แฟชั่น B",Data!$C:$C,"FMFC033-006",Data!$A:$A,DATE(2026,5,28)),"")</f>
        <v/>
      </c>
      <c r="AE7" s="134">
        <f>IFERROR(SUMIFS(Data!$F:$F,Data!$B:$B,"แฟชั่น B",Data!$C:$C,"FMFC033-006",Data!$A:$A,DATE(2026,5,29)),"")</f>
        <v/>
      </c>
      <c r="AF7" s="134">
        <f>IFERROR(SUMIFS(Data!$F:$F,Data!$B:$B,"แฟชั่น B",Data!$C:$C,"FMFC033-006",Data!$A:$A,DATE(2026,5,30)),"")</f>
        <v/>
      </c>
      <c r="AG7" s="134">
        <f>IFERROR(SUMIFS(Data!$F:$F,Data!$B:$B,"แฟชั่น B",Data!$C:$C,"FMFC033-006",Data!$A:$A,DATE(2026,5,31)),"")</f>
        <v/>
      </c>
      <c r="AH7" s="77">
        <f>IFERROR(SUM(C7:AG7),0)</f>
        <v/>
      </c>
      <c r="AI7" s="77">
        <f>AH7*15</f>
        <v/>
      </c>
      <c r="AJ7" s="135">
        <f>IFERROR(AI7/AI16,0)</f>
        <v/>
      </c>
    </row>
    <row r="8" ht="19" customHeight="1" s="87">
      <c r="A8" s="69" t="inlineStr">
        <is>
          <t>FMFC033-007</t>
        </is>
      </c>
      <c r="B8" s="70" t="inlineStr">
        <is>
          <t>ตับนุ่ม (จาน)</t>
        </is>
      </c>
      <c r="C8" s="132">
        <f>IFERROR(SUMIFS(Data!$F:$F,Data!$B:$B,"แฟชั่น B",Data!$C:$C,"FMFC033-007",Data!$A:$A,DATE(2026,5,1)),"")</f>
        <v/>
      </c>
      <c r="D8" s="132">
        <f>IFERROR(SUMIFS(Data!$F:$F,Data!$B:$B,"แฟชั่น B",Data!$C:$C,"FMFC033-007",Data!$A:$A,DATE(2026,5,2)),"")</f>
        <v/>
      </c>
      <c r="E8" s="132">
        <f>IFERROR(SUMIFS(Data!$F:$F,Data!$B:$B,"แฟชั่น B",Data!$C:$C,"FMFC033-007",Data!$A:$A,DATE(2026,5,3)),"")</f>
        <v/>
      </c>
      <c r="F8" s="132">
        <f>IFERROR(SUMIFS(Data!$F:$F,Data!$B:$B,"แฟชั่น B",Data!$C:$C,"FMFC033-007",Data!$A:$A,DATE(2026,5,4)),"")</f>
        <v/>
      </c>
      <c r="G8" s="132">
        <f>IFERROR(SUMIFS(Data!$F:$F,Data!$B:$B,"แฟชั่น B",Data!$C:$C,"FMFC033-007",Data!$A:$A,DATE(2026,5,5)),"")</f>
        <v/>
      </c>
      <c r="H8" s="132">
        <f>IFERROR(SUMIFS(Data!$F:$F,Data!$B:$B,"แฟชั่น B",Data!$C:$C,"FMFC033-007",Data!$A:$A,DATE(2026,5,6)),"")</f>
        <v/>
      </c>
      <c r="I8" s="132">
        <f>IFERROR(SUMIFS(Data!$F:$F,Data!$B:$B,"แฟชั่น B",Data!$C:$C,"FMFC033-007",Data!$A:$A,DATE(2026,5,7)),"")</f>
        <v/>
      </c>
      <c r="J8" s="132">
        <f>IFERROR(SUMIFS(Data!$F:$F,Data!$B:$B,"แฟชั่น B",Data!$C:$C,"FMFC033-007",Data!$A:$A,DATE(2026,5,8)),"")</f>
        <v/>
      </c>
      <c r="K8" s="132">
        <f>IFERROR(SUMIFS(Data!$F:$F,Data!$B:$B,"แฟชั่น B",Data!$C:$C,"FMFC033-007",Data!$A:$A,DATE(2026,5,9)),"")</f>
        <v/>
      </c>
      <c r="L8" s="132">
        <f>IFERROR(SUMIFS(Data!$F:$F,Data!$B:$B,"แฟชั่น B",Data!$C:$C,"FMFC033-007",Data!$A:$A,DATE(2026,5,10)),"")</f>
        <v/>
      </c>
      <c r="M8" s="132">
        <f>IFERROR(SUMIFS(Data!$F:$F,Data!$B:$B,"แฟชั่น B",Data!$C:$C,"FMFC033-007",Data!$A:$A,DATE(2026,5,11)),"")</f>
        <v/>
      </c>
      <c r="N8" s="132">
        <f>IFERROR(SUMIFS(Data!$F:$F,Data!$B:$B,"แฟชั่น B",Data!$C:$C,"FMFC033-007",Data!$A:$A,DATE(2026,5,12)),"")</f>
        <v/>
      </c>
      <c r="O8" s="132">
        <f>IFERROR(SUMIFS(Data!$F:$F,Data!$B:$B,"แฟชั่น B",Data!$C:$C,"FMFC033-007",Data!$A:$A,DATE(2026,5,13)),"")</f>
        <v/>
      </c>
      <c r="P8" s="132">
        <f>IFERROR(SUMIFS(Data!$F:$F,Data!$B:$B,"แฟชั่น B",Data!$C:$C,"FMFC033-007",Data!$A:$A,DATE(2026,5,14)),"")</f>
        <v/>
      </c>
      <c r="Q8" s="132">
        <f>IFERROR(SUMIFS(Data!$F:$F,Data!$B:$B,"แฟชั่น B",Data!$C:$C,"FMFC033-007",Data!$A:$A,DATE(2026,5,15)),"")</f>
        <v/>
      </c>
      <c r="R8" s="132">
        <f>IFERROR(SUMIFS(Data!$F:$F,Data!$B:$B,"แฟชั่น B",Data!$C:$C,"FMFC033-007",Data!$A:$A,DATE(2026,5,16)),"")</f>
        <v/>
      </c>
      <c r="S8" s="132">
        <f>IFERROR(SUMIFS(Data!$F:$F,Data!$B:$B,"แฟชั่น B",Data!$C:$C,"FMFC033-007",Data!$A:$A,DATE(2026,5,17)),"")</f>
        <v/>
      </c>
      <c r="T8" s="132">
        <f>IFERROR(SUMIFS(Data!$F:$F,Data!$B:$B,"แฟชั่น B",Data!$C:$C,"FMFC033-007",Data!$A:$A,DATE(2026,5,18)),"")</f>
        <v/>
      </c>
      <c r="U8" s="132">
        <f>IFERROR(SUMIFS(Data!$F:$F,Data!$B:$B,"แฟชั่น B",Data!$C:$C,"FMFC033-007",Data!$A:$A,DATE(2026,5,19)),"")</f>
        <v/>
      </c>
      <c r="V8" s="132">
        <f>IFERROR(SUMIFS(Data!$F:$F,Data!$B:$B,"แฟชั่น B",Data!$C:$C,"FMFC033-007",Data!$A:$A,DATE(2026,5,20)),"")</f>
        <v/>
      </c>
      <c r="W8" s="132">
        <f>IFERROR(SUMIFS(Data!$F:$F,Data!$B:$B,"แฟชั่น B",Data!$C:$C,"FMFC033-007",Data!$A:$A,DATE(2026,5,21)),"")</f>
        <v/>
      </c>
      <c r="X8" s="132">
        <f>IFERROR(SUMIFS(Data!$F:$F,Data!$B:$B,"แฟชั่น B",Data!$C:$C,"FMFC033-007",Data!$A:$A,DATE(2026,5,22)),"")</f>
        <v/>
      </c>
      <c r="Y8" s="132">
        <f>IFERROR(SUMIFS(Data!$F:$F,Data!$B:$B,"แฟชั่น B",Data!$C:$C,"FMFC033-007",Data!$A:$A,DATE(2026,5,23)),"")</f>
        <v/>
      </c>
      <c r="Z8" s="132">
        <f>IFERROR(SUMIFS(Data!$F:$F,Data!$B:$B,"แฟชั่น B",Data!$C:$C,"FMFC033-007",Data!$A:$A,DATE(2026,5,24)),"")</f>
        <v/>
      </c>
      <c r="AA8" s="132">
        <f>IFERROR(SUMIFS(Data!$F:$F,Data!$B:$B,"แฟชั่น B",Data!$C:$C,"FMFC033-007",Data!$A:$A,DATE(2026,5,25)),"")</f>
        <v/>
      </c>
      <c r="AB8" s="132">
        <f>IFERROR(SUMIFS(Data!$F:$F,Data!$B:$B,"แฟชั่น B",Data!$C:$C,"FMFC033-007",Data!$A:$A,DATE(2026,5,26)),"")</f>
        <v/>
      </c>
      <c r="AC8" s="132">
        <f>IFERROR(SUMIFS(Data!$F:$F,Data!$B:$B,"แฟชั่น B",Data!$C:$C,"FMFC033-007",Data!$A:$A,DATE(2026,5,27)),"")</f>
        <v/>
      </c>
      <c r="AD8" s="132">
        <f>IFERROR(SUMIFS(Data!$F:$F,Data!$B:$B,"แฟชั่น B",Data!$C:$C,"FMFC033-007",Data!$A:$A,DATE(2026,5,28)),"")</f>
        <v/>
      </c>
      <c r="AE8" s="132">
        <f>IFERROR(SUMIFS(Data!$F:$F,Data!$B:$B,"แฟชั่น B",Data!$C:$C,"FMFC033-007",Data!$A:$A,DATE(2026,5,29)),"")</f>
        <v/>
      </c>
      <c r="AF8" s="132">
        <f>IFERROR(SUMIFS(Data!$F:$F,Data!$B:$B,"แฟชั่น B",Data!$C:$C,"FMFC033-007",Data!$A:$A,DATE(2026,5,30)),"")</f>
        <v/>
      </c>
      <c r="AG8" s="132">
        <f>IFERROR(SUMIFS(Data!$F:$F,Data!$B:$B,"แฟชั่น B",Data!$C:$C,"FMFC033-007",Data!$A:$A,DATE(2026,5,31)),"")</f>
        <v/>
      </c>
      <c r="AH8" s="72">
        <f>IFERROR(SUM(C8:AG8),0)</f>
        <v/>
      </c>
      <c r="AI8" s="72">
        <f>AH8*60</f>
        <v/>
      </c>
      <c r="AJ8" s="133">
        <f>IFERROR(AI8/AI16,0)</f>
        <v/>
      </c>
    </row>
    <row r="9" ht="19" customHeight="1" s="87">
      <c r="A9" s="74" t="inlineStr">
        <is>
          <t>FMFC033-034</t>
        </is>
      </c>
      <c r="B9" s="75" t="inlineStr">
        <is>
          <t>ข้าวขาหมู</t>
        </is>
      </c>
      <c r="C9" s="134">
        <f>IFERROR(SUMIFS(Data!$F:$F,Data!$B:$B,"แฟชั่น B",Data!$C:$C,"FMFC033-034",Data!$A:$A,DATE(2026,5,1)),"")</f>
        <v/>
      </c>
      <c r="D9" s="134">
        <f>IFERROR(SUMIFS(Data!$F:$F,Data!$B:$B,"แฟชั่น B",Data!$C:$C,"FMFC033-034",Data!$A:$A,DATE(2026,5,2)),"")</f>
        <v/>
      </c>
      <c r="E9" s="134">
        <f>IFERROR(SUMIFS(Data!$F:$F,Data!$B:$B,"แฟชั่น B",Data!$C:$C,"FMFC033-034",Data!$A:$A,DATE(2026,5,3)),"")</f>
        <v/>
      </c>
      <c r="F9" s="134">
        <f>IFERROR(SUMIFS(Data!$F:$F,Data!$B:$B,"แฟชั่น B",Data!$C:$C,"FMFC033-034",Data!$A:$A,DATE(2026,5,4)),"")</f>
        <v/>
      </c>
      <c r="G9" s="134">
        <f>IFERROR(SUMIFS(Data!$F:$F,Data!$B:$B,"แฟชั่น B",Data!$C:$C,"FMFC033-034",Data!$A:$A,DATE(2026,5,5)),"")</f>
        <v/>
      </c>
      <c r="H9" s="134">
        <f>IFERROR(SUMIFS(Data!$F:$F,Data!$B:$B,"แฟชั่น B",Data!$C:$C,"FMFC033-034",Data!$A:$A,DATE(2026,5,6)),"")</f>
        <v/>
      </c>
      <c r="I9" s="134">
        <f>IFERROR(SUMIFS(Data!$F:$F,Data!$B:$B,"แฟชั่น B",Data!$C:$C,"FMFC033-034",Data!$A:$A,DATE(2026,5,7)),"")</f>
        <v/>
      </c>
      <c r="J9" s="134">
        <f>IFERROR(SUMIFS(Data!$F:$F,Data!$B:$B,"แฟชั่น B",Data!$C:$C,"FMFC033-034",Data!$A:$A,DATE(2026,5,8)),"")</f>
        <v/>
      </c>
      <c r="K9" s="134">
        <f>IFERROR(SUMIFS(Data!$F:$F,Data!$B:$B,"แฟชั่น B",Data!$C:$C,"FMFC033-034",Data!$A:$A,DATE(2026,5,9)),"")</f>
        <v/>
      </c>
      <c r="L9" s="134">
        <f>IFERROR(SUMIFS(Data!$F:$F,Data!$B:$B,"แฟชั่น B",Data!$C:$C,"FMFC033-034",Data!$A:$A,DATE(2026,5,10)),"")</f>
        <v/>
      </c>
      <c r="M9" s="134">
        <f>IFERROR(SUMIFS(Data!$F:$F,Data!$B:$B,"แฟชั่น B",Data!$C:$C,"FMFC033-034",Data!$A:$A,DATE(2026,5,11)),"")</f>
        <v/>
      </c>
      <c r="N9" s="134">
        <f>IFERROR(SUMIFS(Data!$F:$F,Data!$B:$B,"แฟชั่น B",Data!$C:$C,"FMFC033-034",Data!$A:$A,DATE(2026,5,12)),"")</f>
        <v/>
      </c>
      <c r="O9" s="134">
        <f>IFERROR(SUMIFS(Data!$F:$F,Data!$B:$B,"แฟชั่น B",Data!$C:$C,"FMFC033-034",Data!$A:$A,DATE(2026,5,13)),"")</f>
        <v/>
      </c>
      <c r="P9" s="134">
        <f>IFERROR(SUMIFS(Data!$F:$F,Data!$B:$B,"แฟชั่น B",Data!$C:$C,"FMFC033-034",Data!$A:$A,DATE(2026,5,14)),"")</f>
        <v/>
      </c>
      <c r="Q9" s="134">
        <f>IFERROR(SUMIFS(Data!$F:$F,Data!$B:$B,"แฟชั่น B",Data!$C:$C,"FMFC033-034",Data!$A:$A,DATE(2026,5,15)),"")</f>
        <v/>
      </c>
      <c r="R9" s="134">
        <f>IFERROR(SUMIFS(Data!$F:$F,Data!$B:$B,"แฟชั่น B",Data!$C:$C,"FMFC033-034",Data!$A:$A,DATE(2026,5,16)),"")</f>
        <v/>
      </c>
      <c r="S9" s="134">
        <f>IFERROR(SUMIFS(Data!$F:$F,Data!$B:$B,"แฟชั่น B",Data!$C:$C,"FMFC033-034",Data!$A:$A,DATE(2026,5,17)),"")</f>
        <v/>
      </c>
      <c r="T9" s="134">
        <f>IFERROR(SUMIFS(Data!$F:$F,Data!$B:$B,"แฟชั่น B",Data!$C:$C,"FMFC033-034",Data!$A:$A,DATE(2026,5,18)),"")</f>
        <v/>
      </c>
      <c r="U9" s="134">
        <f>IFERROR(SUMIFS(Data!$F:$F,Data!$B:$B,"แฟชั่น B",Data!$C:$C,"FMFC033-034",Data!$A:$A,DATE(2026,5,19)),"")</f>
        <v/>
      </c>
      <c r="V9" s="134">
        <f>IFERROR(SUMIFS(Data!$F:$F,Data!$B:$B,"แฟชั่น B",Data!$C:$C,"FMFC033-034",Data!$A:$A,DATE(2026,5,20)),"")</f>
        <v/>
      </c>
      <c r="W9" s="134">
        <f>IFERROR(SUMIFS(Data!$F:$F,Data!$B:$B,"แฟชั่น B",Data!$C:$C,"FMFC033-034",Data!$A:$A,DATE(2026,5,21)),"")</f>
        <v/>
      </c>
      <c r="X9" s="134">
        <f>IFERROR(SUMIFS(Data!$F:$F,Data!$B:$B,"แฟชั่น B",Data!$C:$C,"FMFC033-034",Data!$A:$A,DATE(2026,5,22)),"")</f>
        <v/>
      </c>
      <c r="Y9" s="134">
        <f>IFERROR(SUMIFS(Data!$F:$F,Data!$B:$B,"แฟชั่น B",Data!$C:$C,"FMFC033-034",Data!$A:$A,DATE(2026,5,23)),"")</f>
        <v/>
      </c>
      <c r="Z9" s="134">
        <f>IFERROR(SUMIFS(Data!$F:$F,Data!$B:$B,"แฟชั่น B",Data!$C:$C,"FMFC033-034",Data!$A:$A,DATE(2026,5,24)),"")</f>
        <v/>
      </c>
      <c r="AA9" s="134">
        <f>IFERROR(SUMIFS(Data!$F:$F,Data!$B:$B,"แฟชั่น B",Data!$C:$C,"FMFC033-034",Data!$A:$A,DATE(2026,5,25)),"")</f>
        <v/>
      </c>
      <c r="AB9" s="134">
        <f>IFERROR(SUMIFS(Data!$F:$F,Data!$B:$B,"แฟชั่น B",Data!$C:$C,"FMFC033-034",Data!$A:$A,DATE(2026,5,26)),"")</f>
        <v/>
      </c>
      <c r="AC9" s="134">
        <f>IFERROR(SUMIFS(Data!$F:$F,Data!$B:$B,"แฟชั่น B",Data!$C:$C,"FMFC033-034",Data!$A:$A,DATE(2026,5,27)),"")</f>
        <v/>
      </c>
      <c r="AD9" s="134">
        <f>IFERROR(SUMIFS(Data!$F:$F,Data!$B:$B,"แฟชั่น B",Data!$C:$C,"FMFC033-034",Data!$A:$A,DATE(2026,5,28)),"")</f>
        <v/>
      </c>
      <c r="AE9" s="134">
        <f>IFERROR(SUMIFS(Data!$F:$F,Data!$B:$B,"แฟชั่น B",Data!$C:$C,"FMFC033-034",Data!$A:$A,DATE(2026,5,29)),"")</f>
        <v/>
      </c>
      <c r="AF9" s="134">
        <f>IFERROR(SUMIFS(Data!$F:$F,Data!$B:$B,"แฟชั่น B",Data!$C:$C,"FMFC033-034",Data!$A:$A,DATE(2026,5,30)),"")</f>
        <v/>
      </c>
      <c r="AG9" s="134">
        <f>IFERROR(SUMIFS(Data!$F:$F,Data!$B:$B,"แฟชั่น B",Data!$C:$C,"FMFC033-034",Data!$A:$A,DATE(2026,5,31)),"")</f>
        <v/>
      </c>
      <c r="AH9" s="77">
        <f>IFERROR(SUM(C9:AG9),0)</f>
        <v/>
      </c>
      <c r="AI9" s="77">
        <f>AH9*60</f>
        <v/>
      </c>
      <c r="AJ9" s="135">
        <f>IFERROR(AI9/AI16,0)</f>
        <v/>
      </c>
    </row>
    <row r="10" ht="19" customHeight="1" s="87">
      <c r="A10" s="69" t="inlineStr">
        <is>
          <t>FMFC033-035</t>
        </is>
      </c>
      <c r="B10" s="70" t="inlineStr">
        <is>
          <t>ข้าวคากิ</t>
        </is>
      </c>
      <c r="C10" s="132">
        <f>IFERROR(SUMIFS(Data!$F:$F,Data!$B:$B,"แฟชั่น B",Data!$C:$C,"FMFC033-035",Data!$A:$A,DATE(2026,5,1)),"")</f>
        <v/>
      </c>
      <c r="D10" s="132">
        <f>IFERROR(SUMIFS(Data!$F:$F,Data!$B:$B,"แฟชั่น B",Data!$C:$C,"FMFC033-035",Data!$A:$A,DATE(2026,5,2)),"")</f>
        <v/>
      </c>
      <c r="E10" s="132">
        <f>IFERROR(SUMIFS(Data!$F:$F,Data!$B:$B,"แฟชั่น B",Data!$C:$C,"FMFC033-035",Data!$A:$A,DATE(2026,5,3)),"")</f>
        <v/>
      </c>
      <c r="F10" s="132">
        <f>IFERROR(SUMIFS(Data!$F:$F,Data!$B:$B,"แฟชั่น B",Data!$C:$C,"FMFC033-035",Data!$A:$A,DATE(2026,5,4)),"")</f>
        <v/>
      </c>
      <c r="G10" s="132">
        <f>IFERROR(SUMIFS(Data!$F:$F,Data!$B:$B,"แฟชั่น B",Data!$C:$C,"FMFC033-035",Data!$A:$A,DATE(2026,5,5)),"")</f>
        <v/>
      </c>
      <c r="H10" s="132">
        <f>IFERROR(SUMIFS(Data!$F:$F,Data!$B:$B,"แฟชั่น B",Data!$C:$C,"FMFC033-035",Data!$A:$A,DATE(2026,5,6)),"")</f>
        <v/>
      </c>
      <c r="I10" s="132">
        <f>IFERROR(SUMIFS(Data!$F:$F,Data!$B:$B,"แฟชั่น B",Data!$C:$C,"FMFC033-035",Data!$A:$A,DATE(2026,5,7)),"")</f>
        <v/>
      </c>
      <c r="J10" s="132">
        <f>IFERROR(SUMIFS(Data!$F:$F,Data!$B:$B,"แฟชั่น B",Data!$C:$C,"FMFC033-035",Data!$A:$A,DATE(2026,5,8)),"")</f>
        <v/>
      </c>
      <c r="K10" s="132">
        <f>IFERROR(SUMIFS(Data!$F:$F,Data!$B:$B,"แฟชั่น B",Data!$C:$C,"FMFC033-035",Data!$A:$A,DATE(2026,5,9)),"")</f>
        <v/>
      </c>
      <c r="L10" s="132">
        <f>IFERROR(SUMIFS(Data!$F:$F,Data!$B:$B,"แฟชั่น B",Data!$C:$C,"FMFC033-035",Data!$A:$A,DATE(2026,5,10)),"")</f>
        <v/>
      </c>
      <c r="M10" s="132">
        <f>IFERROR(SUMIFS(Data!$F:$F,Data!$B:$B,"แฟชั่น B",Data!$C:$C,"FMFC033-035",Data!$A:$A,DATE(2026,5,11)),"")</f>
        <v/>
      </c>
      <c r="N10" s="132">
        <f>IFERROR(SUMIFS(Data!$F:$F,Data!$B:$B,"แฟชั่น B",Data!$C:$C,"FMFC033-035",Data!$A:$A,DATE(2026,5,12)),"")</f>
        <v/>
      </c>
      <c r="O10" s="132">
        <f>IFERROR(SUMIFS(Data!$F:$F,Data!$B:$B,"แฟชั่น B",Data!$C:$C,"FMFC033-035",Data!$A:$A,DATE(2026,5,13)),"")</f>
        <v/>
      </c>
      <c r="P10" s="132">
        <f>IFERROR(SUMIFS(Data!$F:$F,Data!$B:$B,"แฟชั่น B",Data!$C:$C,"FMFC033-035",Data!$A:$A,DATE(2026,5,14)),"")</f>
        <v/>
      </c>
      <c r="Q10" s="132">
        <f>IFERROR(SUMIFS(Data!$F:$F,Data!$B:$B,"แฟชั่น B",Data!$C:$C,"FMFC033-035",Data!$A:$A,DATE(2026,5,15)),"")</f>
        <v/>
      </c>
      <c r="R10" s="132">
        <f>IFERROR(SUMIFS(Data!$F:$F,Data!$B:$B,"แฟชั่น B",Data!$C:$C,"FMFC033-035",Data!$A:$A,DATE(2026,5,16)),"")</f>
        <v/>
      </c>
      <c r="S10" s="132">
        <f>IFERROR(SUMIFS(Data!$F:$F,Data!$B:$B,"แฟชั่น B",Data!$C:$C,"FMFC033-035",Data!$A:$A,DATE(2026,5,17)),"")</f>
        <v/>
      </c>
      <c r="T10" s="132">
        <f>IFERROR(SUMIFS(Data!$F:$F,Data!$B:$B,"แฟชั่น B",Data!$C:$C,"FMFC033-035",Data!$A:$A,DATE(2026,5,18)),"")</f>
        <v/>
      </c>
      <c r="U10" s="132">
        <f>IFERROR(SUMIFS(Data!$F:$F,Data!$B:$B,"แฟชั่น B",Data!$C:$C,"FMFC033-035",Data!$A:$A,DATE(2026,5,19)),"")</f>
        <v/>
      </c>
      <c r="V10" s="132">
        <f>IFERROR(SUMIFS(Data!$F:$F,Data!$B:$B,"แฟชั่น B",Data!$C:$C,"FMFC033-035",Data!$A:$A,DATE(2026,5,20)),"")</f>
        <v/>
      </c>
      <c r="W10" s="132">
        <f>IFERROR(SUMIFS(Data!$F:$F,Data!$B:$B,"แฟชั่น B",Data!$C:$C,"FMFC033-035",Data!$A:$A,DATE(2026,5,21)),"")</f>
        <v/>
      </c>
      <c r="X10" s="132">
        <f>IFERROR(SUMIFS(Data!$F:$F,Data!$B:$B,"แฟชั่น B",Data!$C:$C,"FMFC033-035",Data!$A:$A,DATE(2026,5,22)),"")</f>
        <v/>
      </c>
      <c r="Y10" s="132">
        <f>IFERROR(SUMIFS(Data!$F:$F,Data!$B:$B,"แฟชั่น B",Data!$C:$C,"FMFC033-035",Data!$A:$A,DATE(2026,5,23)),"")</f>
        <v/>
      </c>
      <c r="Z10" s="132">
        <f>IFERROR(SUMIFS(Data!$F:$F,Data!$B:$B,"แฟชั่น B",Data!$C:$C,"FMFC033-035",Data!$A:$A,DATE(2026,5,24)),"")</f>
        <v/>
      </c>
      <c r="AA10" s="132">
        <f>IFERROR(SUMIFS(Data!$F:$F,Data!$B:$B,"แฟชั่น B",Data!$C:$C,"FMFC033-035",Data!$A:$A,DATE(2026,5,25)),"")</f>
        <v/>
      </c>
      <c r="AB10" s="132">
        <f>IFERROR(SUMIFS(Data!$F:$F,Data!$B:$B,"แฟชั่น B",Data!$C:$C,"FMFC033-035",Data!$A:$A,DATE(2026,5,26)),"")</f>
        <v/>
      </c>
      <c r="AC10" s="132">
        <f>IFERROR(SUMIFS(Data!$F:$F,Data!$B:$B,"แฟชั่น B",Data!$C:$C,"FMFC033-035",Data!$A:$A,DATE(2026,5,27)),"")</f>
        <v/>
      </c>
      <c r="AD10" s="132">
        <f>IFERROR(SUMIFS(Data!$F:$F,Data!$B:$B,"แฟชั่น B",Data!$C:$C,"FMFC033-035",Data!$A:$A,DATE(2026,5,28)),"")</f>
        <v/>
      </c>
      <c r="AE10" s="132">
        <f>IFERROR(SUMIFS(Data!$F:$F,Data!$B:$B,"แฟชั่น B",Data!$C:$C,"FMFC033-035",Data!$A:$A,DATE(2026,5,29)),"")</f>
        <v/>
      </c>
      <c r="AF10" s="132">
        <f>IFERROR(SUMIFS(Data!$F:$F,Data!$B:$B,"แฟชั่น B",Data!$C:$C,"FMFC033-035",Data!$A:$A,DATE(2026,5,30)),"")</f>
        <v/>
      </c>
      <c r="AG10" s="132">
        <f>IFERROR(SUMIFS(Data!$F:$F,Data!$B:$B,"แฟชั่น B",Data!$C:$C,"FMFC033-035",Data!$A:$A,DATE(2026,5,31)),"")</f>
        <v/>
      </c>
      <c r="AH10" s="72">
        <f>IFERROR(SUM(C10:AG10),0)</f>
        <v/>
      </c>
      <c r="AI10" s="72">
        <f>AH10*60</f>
        <v/>
      </c>
      <c r="AJ10" s="133">
        <f>IFERROR(AI10/AI16,0)</f>
        <v/>
      </c>
    </row>
    <row r="11" ht="19" customHeight="1" s="87">
      <c r="A11" s="74" t="inlineStr">
        <is>
          <t>FMFC033-037</t>
        </is>
      </c>
      <c r="B11" s="75" t="inlineStr">
        <is>
          <t>ข้าวขาหมูจัดเต็ม</t>
        </is>
      </c>
      <c r="C11" s="134">
        <f>IFERROR(SUMIFS(Data!$F:$F,Data!$B:$B,"แฟชั่น B",Data!$C:$C,"FMFC033-037",Data!$A:$A,DATE(2026,5,1)),"")</f>
        <v/>
      </c>
      <c r="D11" s="134">
        <f>IFERROR(SUMIFS(Data!$F:$F,Data!$B:$B,"แฟชั่น B",Data!$C:$C,"FMFC033-037",Data!$A:$A,DATE(2026,5,2)),"")</f>
        <v/>
      </c>
      <c r="E11" s="134">
        <f>IFERROR(SUMIFS(Data!$F:$F,Data!$B:$B,"แฟชั่น B",Data!$C:$C,"FMFC033-037",Data!$A:$A,DATE(2026,5,3)),"")</f>
        <v/>
      </c>
      <c r="F11" s="134">
        <f>IFERROR(SUMIFS(Data!$F:$F,Data!$B:$B,"แฟชั่น B",Data!$C:$C,"FMFC033-037",Data!$A:$A,DATE(2026,5,4)),"")</f>
        <v/>
      </c>
      <c r="G11" s="134">
        <f>IFERROR(SUMIFS(Data!$F:$F,Data!$B:$B,"แฟชั่น B",Data!$C:$C,"FMFC033-037",Data!$A:$A,DATE(2026,5,5)),"")</f>
        <v/>
      </c>
      <c r="H11" s="134">
        <f>IFERROR(SUMIFS(Data!$F:$F,Data!$B:$B,"แฟชั่น B",Data!$C:$C,"FMFC033-037",Data!$A:$A,DATE(2026,5,6)),"")</f>
        <v/>
      </c>
      <c r="I11" s="134">
        <f>IFERROR(SUMIFS(Data!$F:$F,Data!$B:$B,"แฟชั่น B",Data!$C:$C,"FMFC033-037",Data!$A:$A,DATE(2026,5,7)),"")</f>
        <v/>
      </c>
      <c r="J11" s="134">
        <f>IFERROR(SUMIFS(Data!$F:$F,Data!$B:$B,"แฟชั่น B",Data!$C:$C,"FMFC033-037",Data!$A:$A,DATE(2026,5,8)),"")</f>
        <v/>
      </c>
      <c r="K11" s="134">
        <f>IFERROR(SUMIFS(Data!$F:$F,Data!$B:$B,"แฟชั่น B",Data!$C:$C,"FMFC033-037",Data!$A:$A,DATE(2026,5,9)),"")</f>
        <v/>
      </c>
      <c r="L11" s="134">
        <f>IFERROR(SUMIFS(Data!$F:$F,Data!$B:$B,"แฟชั่น B",Data!$C:$C,"FMFC033-037",Data!$A:$A,DATE(2026,5,10)),"")</f>
        <v/>
      </c>
      <c r="M11" s="134">
        <f>IFERROR(SUMIFS(Data!$F:$F,Data!$B:$B,"แฟชั่น B",Data!$C:$C,"FMFC033-037",Data!$A:$A,DATE(2026,5,11)),"")</f>
        <v/>
      </c>
      <c r="N11" s="134">
        <f>IFERROR(SUMIFS(Data!$F:$F,Data!$B:$B,"แฟชั่น B",Data!$C:$C,"FMFC033-037",Data!$A:$A,DATE(2026,5,12)),"")</f>
        <v/>
      </c>
      <c r="O11" s="134">
        <f>IFERROR(SUMIFS(Data!$F:$F,Data!$B:$B,"แฟชั่น B",Data!$C:$C,"FMFC033-037",Data!$A:$A,DATE(2026,5,13)),"")</f>
        <v/>
      </c>
      <c r="P11" s="134">
        <f>IFERROR(SUMIFS(Data!$F:$F,Data!$B:$B,"แฟชั่น B",Data!$C:$C,"FMFC033-037",Data!$A:$A,DATE(2026,5,14)),"")</f>
        <v/>
      </c>
      <c r="Q11" s="134">
        <f>IFERROR(SUMIFS(Data!$F:$F,Data!$B:$B,"แฟชั่น B",Data!$C:$C,"FMFC033-037",Data!$A:$A,DATE(2026,5,15)),"")</f>
        <v/>
      </c>
      <c r="R11" s="134">
        <f>IFERROR(SUMIFS(Data!$F:$F,Data!$B:$B,"แฟชั่น B",Data!$C:$C,"FMFC033-037",Data!$A:$A,DATE(2026,5,16)),"")</f>
        <v/>
      </c>
      <c r="S11" s="134">
        <f>IFERROR(SUMIFS(Data!$F:$F,Data!$B:$B,"แฟชั่น B",Data!$C:$C,"FMFC033-037",Data!$A:$A,DATE(2026,5,17)),"")</f>
        <v/>
      </c>
      <c r="T11" s="134">
        <f>IFERROR(SUMIFS(Data!$F:$F,Data!$B:$B,"แฟชั่น B",Data!$C:$C,"FMFC033-037",Data!$A:$A,DATE(2026,5,18)),"")</f>
        <v/>
      </c>
      <c r="U11" s="134">
        <f>IFERROR(SUMIFS(Data!$F:$F,Data!$B:$B,"แฟชั่น B",Data!$C:$C,"FMFC033-037",Data!$A:$A,DATE(2026,5,19)),"")</f>
        <v/>
      </c>
      <c r="V11" s="134">
        <f>IFERROR(SUMIFS(Data!$F:$F,Data!$B:$B,"แฟชั่น B",Data!$C:$C,"FMFC033-037",Data!$A:$A,DATE(2026,5,20)),"")</f>
        <v/>
      </c>
      <c r="W11" s="134">
        <f>IFERROR(SUMIFS(Data!$F:$F,Data!$B:$B,"แฟชั่น B",Data!$C:$C,"FMFC033-037",Data!$A:$A,DATE(2026,5,21)),"")</f>
        <v/>
      </c>
      <c r="X11" s="134">
        <f>IFERROR(SUMIFS(Data!$F:$F,Data!$B:$B,"แฟชั่น B",Data!$C:$C,"FMFC033-037",Data!$A:$A,DATE(2026,5,22)),"")</f>
        <v/>
      </c>
      <c r="Y11" s="134">
        <f>IFERROR(SUMIFS(Data!$F:$F,Data!$B:$B,"แฟชั่น B",Data!$C:$C,"FMFC033-037",Data!$A:$A,DATE(2026,5,23)),"")</f>
        <v/>
      </c>
      <c r="Z11" s="134">
        <f>IFERROR(SUMIFS(Data!$F:$F,Data!$B:$B,"แฟชั่น B",Data!$C:$C,"FMFC033-037",Data!$A:$A,DATE(2026,5,24)),"")</f>
        <v/>
      </c>
      <c r="AA11" s="134">
        <f>IFERROR(SUMIFS(Data!$F:$F,Data!$B:$B,"แฟชั่น B",Data!$C:$C,"FMFC033-037",Data!$A:$A,DATE(2026,5,25)),"")</f>
        <v/>
      </c>
      <c r="AB11" s="134">
        <f>IFERROR(SUMIFS(Data!$F:$F,Data!$B:$B,"แฟชั่น B",Data!$C:$C,"FMFC033-037",Data!$A:$A,DATE(2026,5,26)),"")</f>
        <v/>
      </c>
      <c r="AC11" s="134">
        <f>IFERROR(SUMIFS(Data!$F:$F,Data!$B:$B,"แฟชั่น B",Data!$C:$C,"FMFC033-037",Data!$A:$A,DATE(2026,5,27)),"")</f>
        <v/>
      </c>
      <c r="AD11" s="134">
        <f>IFERROR(SUMIFS(Data!$F:$F,Data!$B:$B,"แฟชั่น B",Data!$C:$C,"FMFC033-037",Data!$A:$A,DATE(2026,5,28)),"")</f>
        <v/>
      </c>
      <c r="AE11" s="134">
        <f>IFERROR(SUMIFS(Data!$F:$F,Data!$B:$B,"แฟชั่น B",Data!$C:$C,"FMFC033-037",Data!$A:$A,DATE(2026,5,29)),"")</f>
        <v/>
      </c>
      <c r="AF11" s="134">
        <f>IFERROR(SUMIFS(Data!$F:$F,Data!$B:$B,"แฟชั่น B",Data!$C:$C,"FMFC033-037",Data!$A:$A,DATE(2026,5,30)),"")</f>
        <v/>
      </c>
      <c r="AG11" s="134">
        <f>IFERROR(SUMIFS(Data!$F:$F,Data!$B:$B,"แฟชั่น B",Data!$C:$C,"FMFC033-037",Data!$A:$A,DATE(2026,5,31)),"")</f>
        <v/>
      </c>
      <c r="AH11" s="77">
        <f>IFERROR(SUM(C11:AG11),0)</f>
        <v/>
      </c>
      <c r="AI11" s="77">
        <f>AH11*90</f>
        <v/>
      </c>
      <c r="AJ11" s="135">
        <f>IFERROR(AI11/AI16,0)</f>
        <v/>
      </c>
    </row>
    <row r="12" ht="19" customHeight="1" s="87">
      <c r="A12" s="69" t="inlineStr">
        <is>
          <t>FMFC033-038</t>
        </is>
      </c>
      <c r="B12" s="70" t="inlineStr">
        <is>
          <t>ชุดขาหมูรวมจัดเต็ม</t>
        </is>
      </c>
      <c r="C12" s="132">
        <f>IFERROR(SUMIFS(Data!$F:$F,Data!$B:$B,"แฟชั่น B",Data!$C:$C,"FMFC033-038",Data!$A:$A,DATE(2026,5,1)),"")</f>
        <v/>
      </c>
      <c r="D12" s="132">
        <f>IFERROR(SUMIFS(Data!$F:$F,Data!$B:$B,"แฟชั่น B",Data!$C:$C,"FMFC033-038",Data!$A:$A,DATE(2026,5,2)),"")</f>
        <v/>
      </c>
      <c r="E12" s="132">
        <f>IFERROR(SUMIFS(Data!$F:$F,Data!$B:$B,"แฟชั่น B",Data!$C:$C,"FMFC033-038",Data!$A:$A,DATE(2026,5,3)),"")</f>
        <v/>
      </c>
      <c r="F12" s="132">
        <f>IFERROR(SUMIFS(Data!$F:$F,Data!$B:$B,"แฟชั่น B",Data!$C:$C,"FMFC033-038",Data!$A:$A,DATE(2026,5,4)),"")</f>
        <v/>
      </c>
      <c r="G12" s="132">
        <f>IFERROR(SUMIFS(Data!$F:$F,Data!$B:$B,"แฟชั่น B",Data!$C:$C,"FMFC033-038",Data!$A:$A,DATE(2026,5,5)),"")</f>
        <v/>
      </c>
      <c r="H12" s="132">
        <f>IFERROR(SUMIFS(Data!$F:$F,Data!$B:$B,"แฟชั่น B",Data!$C:$C,"FMFC033-038",Data!$A:$A,DATE(2026,5,6)),"")</f>
        <v/>
      </c>
      <c r="I12" s="132">
        <f>IFERROR(SUMIFS(Data!$F:$F,Data!$B:$B,"แฟชั่น B",Data!$C:$C,"FMFC033-038",Data!$A:$A,DATE(2026,5,7)),"")</f>
        <v/>
      </c>
      <c r="J12" s="132">
        <f>IFERROR(SUMIFS(Data!$F:$F,Data!$B:$B,"แฟชั่น B",Data!$C:$C,"FMFC033-038",Data!$A:$A,DATE(2026,5,8)),"")</f>
        <v/>
      </c>
      <c r="K12" s="132">
        <f>IFERROR(SUMIFS(Data!$F:$F,Data!$B:$B,"แฟชั่น B",Data!$C:$C,"FMFC033-038",Data!$A:$A,DATE(2026,5,9)),"")</f>
        <v/>
      </c>
      <c r="L12" s="132">
        <f>IFERROR(SUMIFS(Data!$F:$F,Data!$B:$B,"แฟชั่น B",Data!$C:$C,"FMFC033-038",Data!$A:$A,DATE(2026,5,10)),"")</f>
        <v/>
      </c>
      <c r="M12" s="132">
        <f>IFERROR(SUMIFS(Data!$F:$F,Data!$B:$B,"แฟชั่น B",Data!$C:$C,"FMFC033-038",Data!$A:$A,DATE(2026,5,11)),"")</f>
        <v/>
      </c>
      <c r="N12" s="132">
        <f>IFERROR(SUMIFS(Data!$F:$F,Data!$B:$B,"แฟชั่น B",Data!$C:$C,"FMFC033-038",Data!$A:$A,DATE(2026,5,12)),"")</f>
        <v/>
      </c>
      <c r="O12" s="132">
        <f>IFERROR(SUMIFS(Data!$F:$F,Data!$B:$B,"แฟชั่น B",Data!$C:$C,"FMFC033-038",Data!$A:$A,DATE(2026,5,13)),"")</f>
        <v/>
      </c>
      <c r="P12" s="132">
        <f>IFERROR(SUMIFS(Data!$F:$F,Data!$B:$B,"แฟชั่น B",Data!$C:$C,"FMFC033-038",Data!$A:$A,DATE(2026,5,14)),"")</f>
        <v/>
      </c>
      <c r="Q12" s="132">
        <f>IFERROR(SUMIFS(Data!$F:$F,Data!$B:$B,"แฟชั่น B",Data!$C:$C,"FMFC033-038",Data!$A:$A,DATE(2026,5,15)),"")</f>
        <v/>
      </c>
      <c r="R12" s="132">
        <f>IFERROR(SUMIFS(Data!$F:$F,Data!$B:$B,"แฟชั่น B",Data!$C:$C,"FMFC033-038",Data!$A:$A,DATE(2026,5,16)),"")</f>
        <v/>
      </c>
      <c r="S12" s="132">
        <f>IFERROR(SUMIFS(Data!$F:$F,Data!$B:$B,"แฟชั่น B",Data!$C:$C,"FMFC033-038",Data!$A:$A,DATE(2026,5,17)),"")</f>
        <v/>
      </c>
      <c r="T12" s="132">
        <f>IFERROR(SUMIFS(Data!$F:$F,Data!$B:$B,"แฟชั่น B",Data!$C:$C,"FMFC033-038",Data!$A:$A,DATE(2026,5,18)),"")</f>
        <v/>
      </c>
      <c r="U12" s="132">
        <f>IFERROR(SUMIFS(Data!$F:$F,Data!$B:$B,"แฟชั่น B",Data!$C:$C,"FMFC033-038",Data!$A:$A,DATE(2026,5,19)),"")</f>
        <v/>
      </c>
      <c r="V12" s="132">
        <f>IFERROR(SUMIFS(Data!$F:$F,Data!$B:$B,"แฟชั่น B",Data!$C:$C,"FMFC033-038",Data!$A:$A,DATE(2026,5,20)),"")</f>
        <v/>
      </c>
      <c r="W12" s="132">
        <f>IFERROR(SUMIFS(Data!$F:$F,Data!$B:$B,"แฟชั่น B",Data!$C:$C,"FMFC033-038",Data!$A:$A,DATE(2026,5,21)),"")</f>
        <v/>
      </c>
      <c r="X12" s="132">
        <f>IFERROR(SUMIFS(Data!$F:$F,Data!$B:$B,"แฟชั่น B",Data!$C:$C,"FMFC033-038",Data!$A:$A,DATE(2026,5,22)),"")</f>
        <v/>
      </c>
      <c r="Y12" s="132">
        <f>IFERROR(SUMIFS(Data!$F:$F,Data!$B:$B,"แฟชั่น B",Data!$C:$C,"FMFC033-038",Data!$A:$A,DATE(2026,5,23)),"")</f>
        <v/>
      </c>
      <c r="Z12" s="132">
        <f>IFERROR(SUMIFS(Data!$F:$F,Data!$B:$B,"แฟชั่น B",Data!$C:$C,"FMFC033-038",Data!$A:$A,DATE(2026,5,24)),"")</f>
        <v/>
      </c>
      <c r="AA12" s="132">
        <f>IFERROR(SUMIFS(Data!$F:$F,Data!$B:$B,"แฟชั่น B",Data!$C:$C,"FMFC033-038",Data!$A:$A,DATE(2026,5,25)),"")</f>
        <v/>
      </c>
      <c r="AB12" s="132">
        <f>IFERROR(SUMIFS(Data!$F:$F,Data!$B:$B,"แฟชั่น B",Data!$C:$C,"FMFC033-038",Data!$A:$A,DATE(2026,5,26)),"")</f>
        <v/>
      </c>
      <c r="AC12" s="132">
        <f>IFERROR(SUMIFS(Data!$F:$F,Data!$B:$B,"แฟชั่น B",Data!$C:$C,"FMFC033-038",Data!$A:$A,DATE(2026,5,27)),"")</f>
        <v/>
      </c>
      <c r="AD12" s="132">
        <f>IFERROR(SUMIFS(Data!$F:$F,Data!$B:$B,"แฟชั่น B",Data!$C:$C,"FMFC033-038",Data!$A:$A,DATE(2026,5,28)),"")</f>
        <v/>
      </c>
      <c r="AE12" s="132">
        <f>IFERROR(SUMIFS(Data!$F:$F,Data!$B:$B,"แฟชั่น B",Data!$C:$C,"FMFC033-038",Data!$A:$A,DATE(2026,5,29)),"")</f>
        <v/>
      </c>
      <c r="AF12" s="132">
        <f>IFERROR(SUMIFS(Data!$F:$F,Data!$B:$B,"แฟชั่น B",Data!$C:$C,"FMFC033-038",Data!$A:$A,DATE(2026,5,30)),"")</f>
        <v/>
      </c>
      <c r="AG12" s="132">
        <f>IFERROR(SUMIFS(Data!$F:$F,Data!$B:$B,"แฟชั่น B",Data!$C:$C,"FMFC033-038",Data!$A:$A,DATE(2026,5,31)),"")</f>
        <v/>
      </c>
      <c r="AH12" s="72">
        <f>IFERROR(SUM(C12:AG12),0)</f>
        <v/>
      </c>
      <c r="AI12" s="72">
        <f>AH12*190</f>
        <v/>
      </c>
      <c r="AJ12" s="133">
        <f>IFERROR(AI12/AI16,0)</f>
        <v/>
      </c>
    </row>
    <row r="13" ht="19" customHeight="1" s="87">
      <c r="A13" s="74" t="inlineStr">
        <is>
          <t>FMFC033-049</t>
        </is>
      </c>
      <c r="B13" s="75" t="inlineStr">
        <is>
          <t>ข้าวไก่ทอดซอสกะเพรา</t>
        </is>
      </c>
      <c r="C13" s="134">
        <f>IFERROR(SUMIFS(Data!$F:$F,Data!$B:$B,"แฟชั่น B",Data!$C:$C,"FMFC033-049",Data!$A:$A,DATE(2026,5,1)),"")</f>
        <v/>
      </c>
      <c r="D13" s="134">
        <f>IFERROR(SUMIFS(Data!$F:$F,Data!$B:$B,"แฟชั่น B",Data!$C:$C,"FMFC033-049",Data!$A:$A,DATE(2026,5,2)),"")</f>
        <v/>
      </c>
      <c r="E13" s="134">
        <f>IFERROR(SUMIFS(Data!$F:$F,Data!$B:$B,"แฟชั่น B",Data!$C:$C,"FMFC033-049",Data!$A:$A,DATE(2026,5,3)),"")</f>
        <v/>
      </c>
      <c r="F13" s="134">
        <f>IFERROR(SUMIFS(Data!$F:$F,Data!$B:$B,"แฟชั่น B",Data!$C:$C,"FMFC033-049",Data!$A:$A,DATE(2026,5,4)),"")</f>
        <v/>
      </c>
      <c r="G13" s="134">
        <f>IFERROR(SUMIFS(Data!$F:$F,Data!$B:$B,"แฟชั่น B",Data!$C:$C,"FMFC033-049",Data!$A:$A,DATE(2026,5,5)),"")</f>
        <v/>
      </c>
      <c r="H13" s="134">
        <f>IFERROR(SUMIFS(Data!$F:$F,Data!$B:$B,"แฟชั่น B",Data!$C:$C,"FMFC033-049",Data!$A:$A,DATE(2026,5,6)),"")</f>
        <v/>
      </c>
      <c r="I13" s="134">
        <f>IFERROR(SUMIFS(Data!$F:$F,Data!$B:$B,"แฟชั่น B",Data!$C:$C,"FMFC033-049",Data!$A:$A,DATE(2026,5,7)),"")</f>
        <v/>
      </c>
      <c r="J13" s="134">
        <f>IFERROR(SUMIFS(Data!$F:$F,Data!$B:$B,"แฟชั่น B",Data!$C:$C,"FMFC033-049",Data!$A:$A,DATE(2026,5,8)),"")</f>
        <v/>
      </c>
      <c r="K13" s="134">
        <f>IFERROR(SUMIFS(Data!$F:$F,Data!$B:$B,"แฟชั่น B",Data!$C:$C,"FMFC033-049",Data!$A:$A,DATE(2026,5,9)),"")</f>
        <v/>
      </c>
      <c r="L13" s="134">
        <f>IFERROR(SUMIFS(Data!$F:$F,Data!$B:$B,"แฟชั่น B",Data!$C:$C,"FMFC033-049",Data!$A:$A,DATE(2026,5,10)),"")</f>
        <v/>
      </c>
      <c r="M13" s="134">
        <f>IFERROR(SUMIFS(Data!$F:$F,Data!$B:$B,"แฟชั่น B",Data!$C:$C,"FMFC033-049",Data!$A:$A,DATE(2026,5,11)),"")</f>
        <v/>
      </c>
      <c r="N13" s="134">
        <f>IFERROR(SUMIFS(Data!$F:$F,Data!$B:$B,"แฟชั่น B",Data!$C:$C,"FMFC033-049",Data!$A:$A,DATE(2026,5,12)),"")</f>
        <v/>
      </c>
      <c r="O13" s="134">
        <f>IFERROR(SUMIFS(Data!$F:$F,Data!$B:$B,"แฟชั่น B",Data!$C:$C,"FMFC033-049",Data!$A:$A,DATE(2026,5,13)),"")</f>
        <v/>
      </c>
      <c r="P13" s="134">
        <f>IFERROR(SUMIFS(Data!$F:$F,Data!$B:$B,"แฟชั่น B",Data!$C:$C,"FMFC033-049",Data!$A:$A,DATE(2026,5,14)),"")</f>
        <v/>
      </c>
      <c r="Q13" s="134">
        <f>IFERROR(SUMIFS(Data!$F:$F,Data!$B:$B,"แฟชั่น B",Data!$C:$C,"FMFC033-049",Data!$A:$A,DATE(2026,5,15)),"")</f>
        <v/>
      </c>
      <c r="R13" s="134">
        <f>IFERROR(SUMIFS(Data!$F:$F,Data!$B:$B,"แฟชั่น B",Data!$C:$C,"FMFC033-049",Data!$A:$A,DATE(2026,5,16)),"")</f>
        <v/>
      </c>
      <c r="S13" s="134">
        <f>IFERROR(SUMIFS(Data!$F:$F,Data!$B:$B,"แฟชั่น B",Data!$C:$C,"FMFC033-049",Data!$A:$A,DATE(2026,5,17)),"")</f>
        <v/>
      </c>
      <c r="T13" s="134">
        <f>IFERROR(SUMIFS(Data!$F:$F,Data!$B:$B,"แฟชั่น B",Data!$C:$C,"FMFC033-049",Data!$A:$A,DATE(2026,5,18)),"")</f>
        <v/>
      </c>
      <c r="U13" s="134">
        <f>IFERROR(SUMIFS(Data!$F:$F,Data!$B:$B,"แฟชั่น B",Data!$C:$C,"FMFC033-049",Data!$A:$A,DATE(2026,5,19)),"")</f>
        <v/>
      </c>
      <c r="V13" s="134">
        <f>IFERROR(SUMIFS(Data!$F:$F,Data!$B:$B,"แฟชั่น B",Data!$C:$C,"FMFC033-049",Data!$A:$A,DATE(2026,5,20)),"")</f>
        <v/>
      </c>
      <c r="W13" s="134">
        <f>IFERROR(SUMIFS(Data!$F:$F,Data!$B:$B,"แฟชั่น B",Data!$C:$C,"FMFC033-049",Data!$A:$A,DATE(2026,5,21)),"")</f>
        <v/>
      </c>
      <c r="X13" s="134">
        <f>IFERROR(SUMIFS(Data!$F:$F,Data!$B:$B,"แฟชั่น B",Data!$C:$C,"FMFC033-049",Data!$A:$A,DATE(2026,5,22)),"")</f>
        <v/>
      </c>
      <c r="Y13" s="134">
        <f>IFERROR(SUMIFS(Data!$F:$F,Data!$B:$B,"แฟชั่น B",Data!$C:$C,"FMFC033-049",Data!$A:$A,DATE(2026,5,23)),"")</f>
        <v/>
      </c>
      <c r="Z13" s="134">
        <f>IFERROR(SUMIFS(Data!$F:$F,Data!$B:$B,"แฟชั่น B",Data!$C:$C,"FMFC033-049",Data!$A:$A,DATE(2026,5,24)),"")</f>
        <v/>
      </c>
      <c r="AA13" s="134">
        <f>IFERROR(SUMIFS(Data!$F:$F,Data!$B:$B,"แฟชั่น B",Data!$C:$C,"FMFC033-049",Data!$A:$A,DATE(2026,5,25)),"")</f>
        <v/>
      </c>
      <c r="AB13" s="134">
        <f>IFERROR(SUMIFS(Data!$F:$F,Data!$B:$B,"แฟชั่น B",Data!$C:$C,"FMFC033-049",Data!$A:$A,DATE(2026,5,26)),"")</f>
        <v/>
      </c>
      <c r="AC13" s="134">
        <f>IFERROR(SUMIFS(Data!$F:$F,Data!$B:$B,"แฟชั่น B",Data!$C:$C,"FMFC033-049",Data!$A:$A,DATE(2026,5,27)),"")</f>
        <v/>
      </c>
      <c r="AD13" s="134">
        <f>IFERROR(SUMIFS(Data!$F:$F,Data!$B:$B,"แฟชั่น B",Data!$C:$C,"FMFC033-049",Data!$A:$A,DATE(2026,5,28)),"")</f>
        <v/>
      </c>
      <c r="AE13" s="134">
        <f>IFERROR(SUMIFS(Data!$F:$F,Data!$B:$B,"แฟชั่น B",Data!$C:$C,"FMFC033-049",Data!$A:$A,DATE(2026,5,29)),"")</f>
        <v/>
      </c>
      <c r="AF13" s="134">
        <f>IFERROR(SUMIFS(Data!$F:$F,Data!$B:$B,"แฟชั่น B",Data!$C:$C,"FMFC033-049",Data!$A:$A,DATE(2026,5,30)),"")</f>
        <v/>
      </c>
      <c r="AG13" s="134">
        <f>IFERROR(SUMIFS(Data!$F:$F,Data!$B:$B,"แฟชั่น B",Data!$C:$C,"FMFC033-049",Data!$A:$A,DATE(2026,5,31)),"")</f>
        <v/>
      </c>
      <c r="AH13" s="77">
        <f>IFERROR(SUM(C13:AG13),0)</f>
        <v/>
      </c>
      <c r="AI13" s="77">
        <f>AH13*60</f>
        <v/>
      </c>
      <c r="AJ13" s="135">
        <f>IFERROR(AI13/AI16,0)</f>
        <v/>
      </c>
    </row>
    <row r="14" ht="19" customHeight="1" s="87">
      <c r="A14" s="69" t="inlineStr">
        <is>
          <t>FMFC033-050</t>
        </is>
      </c>
      <c r="B14" s="70" t="inlineStr">
        <is>
          <t>ยำไก่ทอด/ต้มซอสกะเพรา</t>
        </is>
      </c>
      <c r="C14" s="132">
        <f>IFERROR(SUMIFS(Data!$F:$F,Data!$B:$B,"แฟชั่น B",Data!$C:$C,"FMFC033-050",Data!$A:$A,DATE(2026,5,1)),"")</f>
        <v/>
      </c>
      <c r="D14" s="132">
        <f>IFERROR(SUMIFS(Data!$F:$F,Data!$B:$B,"แฟชั่น B",Data!$C:$C,"FMFC033-050",Data!$A:$A,DATE(2026,5,2)),"")</f>
        <v/>
      </c>
      <c r="E14" s="132">
        <f>IFERROR(SUMIFS(Data!$F:$F,Data!$B:$B,"แฟชั่น B",Data!$C:$C,"FMFC033-050",Data!$A:$A,DATE(2026,5,3)),"")</f>
        <v/>
      </c>
      <c r="F14" s="132">
        <f>IFERROR(SUMIFS(Data!$F:$F,Data!$B:$B,"แฟชั่น B",Data!$C:$C,"FMFC033-050",Data!$A:$A,DATE(2026,5,4)),"")</f>
        <v/>
      </c>
      <c r="G14" s="132">
        <f>IFERROR(SUMIFS(Data!$F:$F,Data!$B:$B,"แฟชั่น B",Data!$C:$C,"FMFC033-050",Data!$A:$A,DATE(2026,5,5)),"")</f>
        <v/>
      </c>
      <c r="H14" s="132">
        <f>IFERROR(SUMIFS(Data!$F:$F,Data!$B:$B,"แฟชั่น B",Data!$C:$C,"FMFC033-050",Data!$A:$A,DATE(2026,5,6)),"")</f>
        <v/>
      </c>
      <c r="I14" s="132">
        <f>IFERROR(SUMIFS(Data!$F:$F,Data!$B:$B,"แฟชั่น B",Data!$C:$C,"FMFC033-050",Data!$A:$A,DATE(2026,5,7)),"")</f>
        <v/>
      </c>
      <c r="J14" s="132">
        <f>IFERROR(SUMIFS(Data!$F:$F,Data!$B:$B,"แฟชั่น B",Data!$C:$C,"FMFC033-050",Data!$A:$A,DATE(2026,5,8)),"")</f>
        <v/>
      </c>
      <c r="K14" s="132">
        <f>IFERROR(SUMIFS(Data!$F:$F,Data!$B:$B,"แฟชั่น B",Data!$C:$C,"FMFC033-050",Data!$A:$A,DATE(2026,5,9)),"")</f>
        <v/>
      </c>
      <c r="L14" s="132">
        <f>IFERROR(SUMIFS(Data!$F:$F,Data!$B:$B,"แฟชั่น B",Data!$C:$C,"FMFC033-050",Data!$A:$A,DATE(2026,5,10)),"")</f>
        <v/>
      </c>
      <c r="M14" s="132">
        <f>IFERROR(SUMIFS(Data!$F:$F,Data!$B:$B,"แฟชั่น B",Data!$C:$C,"FMFC033-050",Data!$A:$A,DATE(2026,5,11)),"")</f>
        <v/>
      </c>
      <c r="N14" s="132">
        <f>IFERROR(SUMIFS(Data!$F:$F,Data!$B:$B,"แฟชั่น B",Data!$C:$C,"FMFC033-050",Data!$A:$A,DATE(2026,5,12)),"")</f>
        <v/>
      </c>
      <c r="O14" s="132">
        <f>IFERROR(SUMIFS(Data!$F:$F,Data!$B:$B,"แฟชั่น B",Data!$C:$C,"FMFC033-050",Data!$A:$A,DATE(2026,5,13)),"")</f>
        <v/>
      </c>
      <c r="P14" s="132">
        <f>IFERROR(SUMIFS(Data!$F:$F,Data!$B:$B,"แฟชั่น B",Data!$C:$C,"FMFC033-050",Data!$A:$A,DATE(2026,5,14)),"")</f>
        <v/>
      </c>
      <c r="Q14" s="132">
        <f>IFERROR(SUMIFS(Data!$F:$F,Data!$B:$B,"แฟชั่น B",Data!$C:$C,"FMFC033-050",Data!$A:$A,DATE(2026,5,15)),"")</f>
        <v/>
      </c>
      <c r="R14" s="132">
        <f>IFERROR(SUMIFS(Data!$F:$F,Data!$B:$B,"แฟชั่น B",Data!$C:$C,"FMFC033-050",Data!$A:$A,DATE(2026,5,16)),"")</f>
        <v/>
      </c>
      <c r="S14" s="132">
        <f>IFERROR(SUMIFS(Data!$F:$F,Data!$B:$B,"แฟชั่น B",Data!$C:$C,"FMFC033-050",Data!$A:$A,DATE(2026,5,17)),"")</f>
        <v/>
      </c>
      <c r="T14" s="132">
        <f>IFERROR(SUMIFS(Data!$F:$F,Data!$B:$B,"แฟชั่น B",Data!$C:$C,"FMFC033-050",Data!$A:$A,DATE(2026,5,18)),"")</f>
        <v/>
      </c>
      <c r="U14" s="132">
        <f>IFERROR(SUMIFS(Data!$F:$F,Data!$B:$B,"แฟชั่น B",Data!$C:$C,"FMFC033-050",Data!$A:$A,DATE(2026,5,19)),"")</f>
        <v/>
      </c>
      <c r="V14" s="132">
        <f>IFERROR(SUMIFS(Data!$F:$F,Data!$B:$B,"แฟชั่น B",Data!$C:$C,"FMFC033-050",Data!$A:$A,DATE(2026,5,20)),"")</f>
        <v/>
      </c>
      <c r="W14" s="132">
        <f>IFERROR(SUMIFS(Data!$F:$F,Data!$B:$B,"แฟชั่น B",Data!$C:$C,"FMFC033-050",Data!$A:$A,DATE(2026,5,21)),"")</f>
        <v/>
      </c>
      <c r="X14" s="132">
        <f>IFERROR(SUMIFS(Data!$F:$F,Data!$B:$B,"แฟชั่น B",Data!$C:$C,"FMFC033-050",Data!$A:$A,DATE(2026,5,22)),"")</f>
        <v/>
      </c>
      <c r="Y14" s="132">
        <f>IFERROR(SUMIFS(Data!$F:$F,Data!$B:$B,"แฟชั่น B",Data!$C:$C,"FMFC033-050",Data!$A:$A,DATE(2026,5,23)),"")</f>
        <v/>
      </c>
      <c r="Z14" s="132">
        <f>IFERROR(SUMIFS(Data!$F:$F,Data!$B:$B,"แฟชั่น B",Data!$C:$C,"FMFC033-050",Data!$A:$A,DATE(2026,5,24)),"")</f>
        <v/>
      </c>
      <c r="AA14" s="132">
        <f>IFERROR(SUMIFS(Data!$F:$F,Data!$B:$B,"แฟชั่น B",Data!$C:$C,"FMFC033-050",Data!$A:$A,DATE(2026,5,25)),"")</f>
        <v/>
      </c>
      <c r="AB14" s="132">
        <f>IFERROR(SUMIFS(Data!$F:$F,Data!$B:$B,"แฟชั่น B",Data!$C:$C,"FMFC033-050",Data!$A:$A,DATE(2026,5,26)),"")</f>
        <v/>
      </c>
      <c r="AC14" s="132">
        <f>IFERROR(SUMIFS(Data!$F:$F,Data!$B:$B,"แฟชั่น B",Data!$C:$C,"FMFC033-050",Data!$A:$A,DATE(2026,5,27)),"")</f>
        <v/>
      </c>
      <c r="AD14" s="132">
        <f>IFERROR(SUMIFS(Data!$F:$F,Data!$B:$B,"แฟชั่น B",Data!$C:$C,"FMFC033-050",Data!$A:$A,DATE(2026,5,28)),"")</f>
        <v/>
      </c>
      <c r="AE14" s="132">
        <f>IFERROR(SUMIFS(Data!$F:$F,Data!$B:$B,"แฟชั่น B",Data!$C:$C,"FMFC033-050",Data!$A:$A,DATE(2026,5,29)),"")</f>
        <v/>
      </c>
      <c r="AF14" s="132">
        <f>IFERROR(SUMIFS(Data!$F:$F,Data!$B:$B,"แฟชั่น B",Data!$C:$C,"FMFC033-050",Data!$A:$A,DATE(2026,5,30)),"")</f>
        <v/>
      </c>
      <c r="AG14" s="132">
        <f>IFERROR(SUMIFS(Data!$F:$F,Data!$B:$B,"แฟชั่น B",Data!$C:$C,"FMFC033-050",Data!$A:$A,DATE(2026,5,31)),"")</f>
        <v/>
      </c>
      <c r="AH14" s="72">
        <f>IFERROR(SUM(C14:AG14),0)</f>
        <v/>
      </c>
      <c r="AI14" s="72">
        <f>AH14*60</f>
        <v/>
      </c>
      <c r="AJ14" s="133">
        <f>IFERROR(AI14/AI16,0)</f>
        <v/>
      </c>
    </row>
    <row r="15" ht="3.75" customHeight="1" s="87"/>
    <row r="16" ht="24" customHeight="1" s="87">
      <c r="A16" s="79" t="n"/>
      <c r="B16" s="34" t="inlineStr">
        <is>
          <t>รวมทั้งหมด</t>
        </is>
      </c>
      <c r="C16" s="80">
        <f>IFERROR(SUM(C4:C14),0)</f>
        <v/>
      </c>
      <c r="D16" s="80">
        <f>IFERROR(SUM(D4:D14),0)</f>
        <v/>
      </c>
      <c r="E16" s="80">
        <f>IFERROR(SUM(E4:E14),0)</f>
        <v/>
      </c>
      <c r="F16" s="80">
        <f>IFERROR(SUM(F4:F14),0)</f>
        <v/>
      </c>
      <c r="G16" s="80">
        <f>IFERROR(SUM(G4:G14),0)</f>
        <v/>
      </c>
      <c r="H16" s="80">
        <f>IFERROR(SUM(H4:H14),0)</f>
        <v/>
      </c>
      <c r="I16" s="80">
        <f>IFERROR(SUM(I4:I14),0)</f>
        <v/>
      </c>
      <c r="J16" s="80">
        <f>IFERROR(SUM(J4:J14),0)</f>
        <v/>
      </c>
      <c r="K16" s="80">
        <f>IFERROR(SUM(K4:K14),0)</f>
        <v/>
      </c>
      <c r="L16" s="80">
        <f>IFERROR(SUM(L4:L14),0)</f>
        <v/>
      </c>
      <c r="M16" s="80">
        <f>IFERROR(SUM(M4:M14),0)</f>
        <v/>
      </c>
      <c r="N16" s="80">
        <f>IFERROR(SUM(N4:N14),0)</f>
        <v/>
      </c>
      <c r="O16" s="80">
        <f>IFERROR(SUM(O4:O14),0)</f>
        <v/>
      </c>
      <c r="P16" s="80">
        <f>IFERROR(SUM(P4:P14),0)</f>
        <v/>
      </c>
      <c r="Q16" s="80">
        <f>IFERROR(SUM(Q4:Q14),0)</f>
        <v/>
      </c>
      <c r="R16" s="80">
        <f>IFERROR(SUM(R4:R14),0)</f>
        <v/>
      </c>
      <c r="S16" s="80">
        <f>IFERROR(SUM(S4:S14),0)</f>
        <v/>
      </c>
      <c r="T16" s="80">
        <f>IFERROR(SUM(T4:T14),0)</f>
        <v/>
      </c>
      <c r="U16" s="80">
        <f>IFERROR(SUM(U4:U14),0)</f>
        <v/>
      </c>
      <c r="V16" s="80">
        <f>IFERROR(SUM(V4:V14),0)</f>
        <v/>
      </c>
      <c r="W16" s="80">
        <f>IFERROR(SUM(W4:W14),0)</f>
        <v/>
      </c>
      <c r="X16" s="80">
        <f>IFERROR(SUM(X4:X14),0)</f>
        <v/>
      </c>
      <c r="Y16" s="80">
        <f>IFERROR(SUM(Y4:Y14),0)</f>
        <v/>
      </c>
      <c r="Z16" s="80">
        <f>IFERROR(SUM(Z4:Z14),0)</f>
        <v/>
      </c>
      <c r="AA16" s="80">
        <f>IFERROR(SUM(AA4:AA14),0)</f>
        <v/>
      </c>
      <c r="AB16" s="80">
        <f>IFERROR(SUM(AB4:AB14),0)</f>
        <v/>
      </c>
      <c r="AC16" s="80">
        <f>IFERROR(SUM(AC4:AC14),0)</f>
        <v/>
      </c>
      <c r="AD16" s="80">
        <f>IFERROR(SUM(AD4:AD14),0)</f>
        <v/>
      </c>
      <c r="AE16" s="80">
        <f>IFERROR(SUM(AE4:AE14),0)</f>
        <v/>
      </c>
      <c r="AF16" s="80">
        <f>IFERROR(SUM(AF4:AF14),0)</f>
        <v/>
      </c>
      <c r="AG16" s="80">
        <f>IFERROR(SUM(AG4:AG14),0)</f>
        <v/>
      </c>
      <c r="AH16" s="35">
        <f>IFERROR(SUM(AH4:AH14),0)</f>
        <v/>
      </c>
      <c r="AI16" s="35">
        <f>IFERROR(SUM(AI4:AI14),0)</f>
        <v/>
      </c>
      <c r="AJ16" s="79" t="n"/>
    </row>
    <row r="17" ht="3.75" customHeight="1" s="87"/>
    <row r="18" ht="24" customHeight="1" s="87">
      <c r="A18" s="113" t="inlineStr">
        <is>
          <t>ยอดรวมจาก Data (฿)</t>
        </is>
      </c>
      <c r="B18" s="117" t="n"/>
      <c r="C18" s="136">
        <f>IFERROR(SUMIFS(Data!$F:$F,Data!$B:$B,"แฟชั่น B",Data!$A:$A,DATE(2026,5,1)),"—")</f>
        <v/>
      </c>
      <c r="D18" s="136">
        <f>IFERROR(SUMIFS(Data!$F:$F,Data!$B:$B,"แฟชั่น B",Data!$A:$A,DATE(2026,5,2)),"—")</f>
        <v/>
      </c>
      <c r="E18" s="136">
        <f>IFERROR(SUMIFS(Data!$F:$F,Data!$B:$B,"แฟชั่น B",Data!$A:$A,DATE(2026,5,3)),"—")</f>
        <v/>
      </c>
      <c r="F18" s="136">
        <f>IFERROR(SUMIFS(Data!$F:$F,Data!$B:$B,"แฟชั่น B",Data!$A:$A,DATE(2026,5,4)),"—")</f>
        <v/>
      </c>
      <c r="G18" s="136">
        <f>IFERROR(SUMIFS(Data!$F:$F,Data!$B:$B,"แฟชั่น B",Data!$A:$A,DATE(2026,5,5)),"—")</f>
        <v/>
      </c>
      <c r="H18" s="136">
        <f>IFERROR(SUMIFS(Data!$F:$F,Data!$B:$B,"แฟชั่น B",Data!$A:$A,DATE(2026,5,6)),"—")</f>
        <v/>
      </c>
      <c r="I18" s="136">
        <f>IFERROR(SUMIFS(Data!$F:$F,Data!$B:$B,"แฟชั่น B",Data!$A:$A,DATE(2026,5,7)),"—")</f>
        <v/>
      </c>
      <c r="J18" s="136">
        <f>IFERROR(SUMIFS(Data!$F:$F,Data!$B:$B,"แฟชั่น B",Data!$A:$A,DATE(2026,5,8)),"—")</f>
        <v/>
      </c>
      <c r="K18" s="136">
        <f>IFERROR(SUMIFS(Data!$F:$F,Data!$B:$B,"แฟชั่น B",Data!$A:$A,DATE(2026,5,9)),"—")</f>
        <v/>
      </c>
      <c r="L18" s="136">
        <f>IFERROR(SUMIFS(Data!$F:$F,Data!$B:$B,"แฟชั่น B",Data!$A:$A,DATE(2026,5,10)),"—")</f>
        <v/>
      </c>
      <c r="M18" s="136">
        <f>IFERROR(SUMIFS(Data!$F:$F,Data!$B:$B,"แฟชั่น B",Data!$A:$A,DATE(2026,5,11)),"—")</f>
        <v/>
      </c>
      <c r="N18" s="136">
        <f>IFERROR(SUMIFS(Data!$F:$F,Data!$B:$B,"แฟชั่น B",Data!$A:$A,DATE(2026,5,12)),"—")</f>
        <v/>
      </c>
      <c r="O18" s="136">
        <f>IFERROR(SUMIFS(Data!$F:$F,Data!$B:$B,"แฟชั่น B",Data!$A:$A,DATE(2026,5,13)),"—")</f>
        <v/>
      </c>
      <c r="P18" s="136">
        <f>IFERROR(SUMIFS(Data!$F:$F,Data!$B:$B,"แฟชั่น B",Data!$A:$A,DATE(2026,5,14)),"—")</f>
        <v/>
      </c>
      <c r="Q18" s="136">
        <f>IFERROR(SUMIFS(Data!$F:$F,Data!$B:$B,"แฟชั่น B",Data!$A:$A,DATE(2026,5,15)),"—")</f>
        <v/>
      </c>
      <c r="R18" s="136">
        <f>IFERROR(SUMIFS(Data!$F:$F,Data!$B:$B,"แฟชั่น B",Data!$A:$A,DATE(2026,5,16)),"—")</f>
        <v/>
      </c>
      <c r="S18" s="136">
        <f>IFERROR(SUMIFS(Data!$F:$F,Data!$B:$B,"แฟชั่น B",Data!$A:$A,DATE(2026,5,17)),"—")</f>
        <v/>
      </c>
      <c r="T18" s="136">
        <f>IFERROR(SUMIFS(Data!$F:$F,Data!$B:$B,"แฟชั่น B",Data!$A:$A,DATE(2026,5,18)),"—")</f>
        <v/>
      </c>
      <c r="U18" s="136">
        <f>IFERROR(SUMIFS(Data!$F:$F,Data!$B:$B,"แฟชั่น B",Data!$A:$A,DATE(2026,5,19)),"—")</f>
        <v/>
      </c>
      <c r="V18" s="136">
        <f>IFERROR(SUMIFS(Data!$F:$F,Data!$B:$B,"แฟชั่น B",Data!$A:$A,DATE(2026,5,20)),"—")</f>
        <v/>
      </c>
      <c r="W18" s="136">
        <f>IFERROR(SUMIFS(Data!$F:$F,Data!$B:$B,"แฟชั่น B",Data!$A:$A,DATE(2026,5,21)),"—")</f>
        <v/>
      </c>
      <c r="X18" s="136">
        <f>IFERROR(SUMIFS(Data!$F:$F,Data!$B:$B,"แฟชั่น B",Data!$A:$A,DATE(2026,5,22)),"—")</f>
        <v/>
      </c>
      <c r="Y18" s="136">
        <f>IFERROR(SUMIFS(Data!$F:$F,Data!$B:$B,"แฟชั่น B",Data!$A:$A,DATE(2026,5,23)),"—")</f>
        <v/>
      </c>
      <c r="Z18" s="136">
        <f>IFERROR(SUMIFS(Data!$F:$F,Data!$B:$B,"แฟชั่น B",Data!$A:$A,DATE(2026,5,24)),"—")</f>
        <v/>
      </c>
      <c r="AA18" s="136">
        <f>IFERROR(SUMIFS(Data!$F:$F,Data!$B:$B,"แฟชั่น B",Data!$A:$A,DATE(2026,5,25)),"—")</f>
        <v/>
      </c>
      <c r="AB18" s="136">
        <f>IFERROR(SUMIFS(Data!$F:$F,Data!$B:$B,"แฟชั่น B",Data!$A:$A,DATE(2026,5,26)),"—")</f>
        <v/>
      </c>
      <c r="AC18" s="136">
        <f>IFERROR(SUMIFS(Data!$F:$F,Data!$B:$B,"แฟชั่น B",Data!$A:$A,DATE(2026,5,27)),"—")</f>
        <v/>
      </c>
      <c r="AD18" s="136">
        <f>IFERROR(SUMIFS(Data!$F:$F,Data!$B:$B,"แฟชั่น B",Data!$A:$A,DATE(2026,5,28)),"—")</f>
        <v/>
      </c>
      <c r="AE18" s="136">
        <f>IFERROR(SUMIFS(Data!$F:$F,Data!$B:$B,"แฟชั่น B",Data!$A:$A,DATE(2026,5,29)),"—")</f>
        <v/>
      </c>
      <c r="AF18" s="136">
        <f>IFERROR(SUMIFS(Data!$F:$F,Data!$B:$B,"แฟชั่น B",Data!$A:$A,DATE(2026,5,30)),"—")</f>
        <v/>
      </c>
      <c r="AG18" s="136">
        <f>IFERROR(SUMIFS(Data!$F:$F,Data!$B:$B,"แฟชั่น B",Data!$A:$A,DATE(2026,5,31)),"—")</f>
        <v/>
      </c>
      <c r="AH18" s="82">
        <f>IFERROR(SUMIFS(Data!$F:$F,Data!$B:$B,"แฟชั่น B",Data!$A:$A,"&gt;="&amp;DATE(2026,5,1),Data!$A:$A,"&lt;="&amp;DATE(2026,5,31)),0)</f>
        <v/>
      </c>
      <c r="AK18" s="83">
        <f>IFERROR(SUMIFS(Data!$F:$F,Data!$B:$B,"แฟชั่น B",Data!$A:$A,"&gt;="&amp;DATE(2026,5,1),Data!$A:$A,"&lt;="&amp;DATE(2026,5,15)),0)</f>
        <v/>
      </c>
      <c r="AL18" s="83">
        <f>IFERROR(SUMIFS(Data!$F:$F,Data!$B:$B,"แฟชั่น B",Data!$A:$A,"&gt;="&amp;DATE(2026,5,16),Data!$A:$A,"&lt;="&amp;DATE(2026,5,31)),0)</f>
        <v/>
      </c>
      <c r="AM18" s="84">
        <f>AK18*0.7</f>
        <v/>
      </c>
      <c r="AN18" s="84">
        <f>AL18*0.7</f>
        <v/>
      </c>
    </row>
  </sheetData>
  <mergeCells count="2">
    <mergeCell ref="A18:B18"/>
    <mergeCell ref="A1:A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87" min="1" max="1"/>
    <col width="28" customWidth="1" style="87" min="2" max="2"/>
    <col width="7" customWidth="1" style="87" min="3" max="33"/>
    <col width="11" customWidth="1" style="87" min="34" max="34"/>
    <col width="12" customWidth="1" style="87" min="35" max="35"/>
    <col width="11" customWidth="1" style="87" min="36" max="36"/>
    <col width="13" customWidth="1" style="87" min="37" max="38"/>
    <col width="14" customWidth="1" style="87" min="39" max="40"/>
  </cols>
  <sheetData>
    <row r="1" ht="27.75" customHeight="1" s="87">
      <c r="A1" s="115" t="inlineStr">
        <is>
          <t>สาขา เอสพลานาด — ยอดขายรายเมนู พฤษภาคม 2569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7" t="n"/>
    </row>
    <row r="2" ht="6" customHeight="1" s="87"/>
    <row r="3" ht="21.75" customHeight="1" s="87">
      <c r="A3" s="109" t="inlineStr">
        <is>
          <t>Item_Code</t>
        </is>
      </c>
      <c r="B3" s="60" t="inlineStr">
        <is>
          <t>ชื่อเมนู</t>
        </is>
      </c>
      <c r="C3" s="63" t="inlineStr">
        <is>
          <t>ศ
1/5</t>
        </is>
      </c>
      <c r="D3" s="63" t="inlineStr">
        <is>
          <t>ส
2/5</t>
        </is>
      </c>
      <c r="E3" s="63" t="inlineStr">
        <is>
          <t>อา
3/5</t>
        </is>
      </c>
      <c r="F3" s="63" t="inlineStr">
        <is>
          <t>จ
4/5</t>
        </is>
      </c>
      <c r="G3" s="63" t="inlineStr">
        <is>
          <t>อ
5/5</t>
        </is>
      </c>
      <c r="H3" s="63" t="inlineStr">
        <is>
          <t>พ
6/5</t>
        </is>
      </c>
      <c r="I3" s="63" t="inlineStr">
        <is>
          <t>พฤ
7/5</t>
        </is>
      </c>
      <c r="J3" s="63" t="inlineStr">
        <is>
          <t>ศ
8/5</t>
        </is>
      </c>
      <c r="K3" s="63" t="inlineStr">
        <is>
          <t>ส
9/5</t>
        </is>
      </c>
      <c r="L3" s="63" t="inlineStr">
        <is>
          <t>อา
10/5</t>
        </is>
      </c>
      <c r="M3" s="63" t="inlineStr">
        <is>
          <t>จ
11/5</t>
        </is>
      </c>
      <c r="N3" s="63" t="inlineStr">
        <is>
          <t>อ
12/5</t>
        </is>
      </c>
      <c r="O3" s="63" t="inlineStr">
        <is>
          <t>พ
13/5</t>
        </is>
      </c>
      <c r="P3" s="63" t="inlineStr">
        <is>
          <t>พฤ
14/5</t>
        </is>
      </c>
      <c r="Q3" s="63" t="inlineStr">
        <is>
          <t>ศ
15/5</t>
        </is>
      </c>
      <c r="R3" s="63" t="inlineStr">
        <is>
          <t>ส
16/5</t>
        </is>
      </c>
      <c r="S3" s="63" t="inlineStr">
        <is>
          <t>อา
17/5</t>
        </is>
      </c>
      <c r="T3" s="63" t="inlineStr">
        <is>
          <t>จ
18/5</t>
        </is>
      </c>
      <c r="U3" s="63" t="inlineStr">
        <is>
          <t>อ
19/5</t>
        </is>
      </c>
      <c r="V3" s="63" t="inlineStr">
        <is>
          <t>พ
20/5</t>
        </is>
      </c>
      <c r="W3" s="63" t="inlineStr">
        <is>
          <t>พฤ
21/5</t>
        </is>
      </c>
      <c r="X3" s="63" t="inlineStr">
        <is>
          <t>ศ
22/5</t>
        </is>
      </c>
      <c r="Y3" s="63" t="inlineStr">
        <is>
          <t>ส
23/5</t>
        </is>
      </c>
      <c r="Z3" s="63" t="inlineStr">
        <is>
          <t>อา
24/5</t>
        </is>
      </c>
      <c r="AA3" s="63" t="inlineStr">
        <is>
          <t>จ
25/5</t>
        </is>
      </c>
      <c r="AB3" s="63" t="inlineStr">
        <is>
          <t>อ
26/5</t>
        </is>
      </c>
      <c r="AC3" s="63" t="inlineStr">
        <is>
          <t>พ
27/5</t>
        </is>
      </c>
      <c r="AD3" s="63" t="inlineStr">
        <is>
          <t>พฤ
28/5</t>
        </is>
      </c>
      <c r="AE3" s="63" t="inlineStr">
        <is>
          <t>ศ
29/5</t>
        </is>
      </c>
      <c r="AF3" s="63" t="inlineStr">
        <is>
          <t>ส
30/5</t>
        </is>
      </c>
      <c r="AG3" s="63" t="inlineStr">
        <is>
          <t>อา
31/5</t>
        </is>
      </c>
      <c r="AH3" s="106" t="inlineStr">
        <is>
          <t>รวม (จาน)</t>
        </is>
      </c>
      <c r="AI3" s="106" t="inlineStr">
        <is>
          <t>รวม (฿)</t>
        </is>
      </c>
      <c r="AJ3" s="106" t="inlineStr">
        <is>
          <t>%</t>
        </is>
      </c>
      <c r="AK3" s="106" t="inlineStr">
        <is>
          <t>ยอดขาย 1-15</t>
        </is>
      </c>
      <c r="AL3" s="106" t="inlineStr">
        <is>
          <t>ยอดขาย 16-31</t>
        </is>
      </c>
      <c r="AM3" s="37" t="inlineStr">
        <is>
          <t>ยอดรับ 1-15</t>
        </is>
      </c>
      <c r="AN3" s="37" t="inlineStr">
        <is>
          <t>ยอดรับ 16-31</t>
        </is>
      </c>
    </row>
    <row r="4" ht="19" customHeight="1" s="87">
      <c r="A4" s="64" t="inlineStr">
        <is>
          <t>FG-ES-RAT-01</t>
        </is>
      </c>
      <c r="B4" s="65" t="inlineStr">
        <is>
          <t>ข้าวมันไก่ต้ม</t>
        </is>
      </c>
      <c r="C4" s="130">
        <f>IFERROR(SUMIFS(Data!$F:$F,Data!$B:$B,"เอสพลานาด",Data!$C:$C,"FG-ES-RAT-01",Data!$A:$A,DATE(2026,5,1)),"")</f>
        <v/>
      </c>
      <c r="D4" s="130">
        <f>IFERROR(SUMIFS(Data!$F:$F,Data!$B:$B,"เอสพลานาด",Data!$C:$C,"FG-ES-RAT-01",Data!$A:$A,DATE(2026,5,2)),"")</f>
        <v/>
      </c>
      <c r="E4" s="130">
        <f>IFERROR(SUMIFS(Data!$F:$F,Data!$B:$B,"เอสพลานาด",Data!$C:$C,"FG-ES-RAT-01",Data!$A:$A,DATE(2026,5,3)),"")</f>
        <v/>
      </c>
      <c r="F4" s="130">
        <f>IFERROR(SUMIFS(Data!$F:$F,Data!$B:$B,"เอสพลานาด",Data!$C:$C,"FG-ES-RAT-01",Data!$A:$A,DATE(2026,5,4)),"")</f>
        <v/>
      </c>
      <c r="G4" s="130">
        <f>IFERROR(SUMIFS(Data!$F:$F,Data!$B:$B,"เอสพลานาด",Data!$C:$C,"FG-ES-RAT-01",Data!$A:$A,DATE(2026,5,5)),"")</f>
        <v/>
      </c>
      <c r="H4" s="130">
        <f>IFERROR(SUMIFS(Data!$F:$F,Data!$B:$B,"เอสพลานาด",Data!$C:$C,"FG-ES-RAT-01",Data!$A:$A,DATE(2026,5,6)),"")</f>
        <v/>
      </c>
      <c r="I4" s="130">
        <f>IFERROR(SUMIFS(Data!$F:$F,Data!$B:$B,"เอสพลานาด",Data!$C:$C,"FG-ES-RAT-01",Data!$A:$A,DATE(2026,5,7)),"")</f>
        <v/>
      </c>
      <c r="J4" s="130">
        <f>IFERROR(SUMIFS(Data!$F:$F,Data!$B:$B,"เอสพลานาด",Data!$C:$C,"FG-ES-RAT-01",Data!$A:$A,DATE(2026,5,8)),"")</f>
        <v/>
      </c>
      <c r="K4" s="130">
        <f>IFERROR(SUMIFS(Data!$F:$F,Data!$B:$B,"เอสพลานาด",Data!$C:$C,"FG-ES-RAT-01",Data!$A:$A,DATE(2026,5,9)),"")</f>
        <v/>
      </c>
      <c r="L4" s="130">
        <f>IFERROR(SUMIFS(Data!$F:$F,Data!$B:$B,"เอสพลานาด",Data!$C:$C,"FG-ES-RAT-01",Data!$A:$A,DATE(2026,5,10)),"")</f>
        <v/>
      </c>
      <c r="M4" s="130">
        <f>IFERROR(SUMIFS(Data!$F:$F,Data!$B:$B,"เอสพลานาด",Data!$C:$C,"FG-ES-RAT-01",Data!$A:$A,DATE(2026,5,11)),"")</f>
        <v/>
      </c>
      <c r="N4" s="130">
        <f>IFERROR(SUMIFS(Data!$F:$F,Data!$B:$B,"เอสพลานาด",Data!$C:$C,"FG-ES-RAT-01",Data!$A:$A,DATE(2026,5,12)),"")</f>
        <v/>
      </c>
      <c r="O4" s="130">
        <f>IFERROR(SUMIFS(Data!$F:$F,Data!$B:$B,"เอสพลานาด",Data!$C:$C,"FG-ES-RAT-01",Data!$A:$A,DATE(2026,5,13)),"")</f>
        <v/>
      </c>
      <c r="P4" s="130">
        <f>IFERROR(SUMIFS(Data!$F:$F,Data!$B:$B,"เอสพลานาด",Data!$C:$C,"FG-ES-RAT-01",Data!$A:$A,DATE(2026,5,14)),"")</f>
        <v/>
      </c>
      <c r="Q4" s="130">
        <f>IFERROR(SUMIFS(Data!$F:$F,Data!$B:$B,"เอสพลานาด",Data!$C:$C,"FG-ES-RAT-01",Data!$A:$A,DATE(2026,5,15)),"")</f>
        <v/>
      </c>
      <c r="R4" s="130">
        <f>IFERROR(SUMIFS(Data!$F:$F,Data!$B:$B,"เอสพลานาด",Data!$C:$C,"FG-ES-RAT-01",Data!$A:$A,DATE(2026,5,16)),"")</f>
        <v/>
      </c>
      <c r="S4" s="130">
        <f>IFERROR(SUMIFS(Data!$F:$F,Data!$B:$B,"เอสพลานาด",Data!$C:$C,"FG-ES-RAT-01",Data!$A:$A,DATE(2026,5,17)),"")</f>
        <v/>
      </c>
      <c r="T4" s="130">
        <f>IFERROR(SUMIFS(Data!$F:$F,Data!$B:$B,"เอสพลานาด",Data!$C:$C,"FG-ES-RAT-01",Data!$A:$A,DATE(2026,5,18)),"")</f>
        <v/>
      </c>
      <c r="U4" s="130">
        <f>IFERROR(SUMIFS(Data!$F:$F,Data!$B:$B,"เอสพลานาด",Data!$C:$C,"FG-ES-RAT-01",Data!$A:$A,DATE(2026,5,19)),"")</f>
        <v/>
      </c>
      <c r="V4" s="130">
        <f>IFERROR(SUMIFS(Data!$F:$F,Data!$B:$B,"เอสพลานาด",Data!$C:$C,"FG-ES-RAT-01",Data!$A:$A,DATE(2026,5,20)),"")</f>
        <v/>
      </c>
      <c r="W4" s="130">
        <f>IFERROR(SUMIFS(Data!$F:$F,Data!$B:$B,"เอสพลานาด",Data!$C:$C,"FG-ES-RAT-01",Data!$A:$A,DATE(2026,5,21)),"")</f>
        <v/>
      </c>
      <c r="X4" s="130">
        <f>IFERROR(SUMIFS(Data!$F:$F,Data!$B:$B,"เอสพลานาด",Data!$C:$C,"FG-ES-RAT-01",Data!$A:$A,DATE(2026,5,22)),"")</f>
        <v/>
      </c>
      <c r="Y4" s="130">
        <f>IFERROR(SUMIFS(Data!$F:$F,Data!$B:$B,"เอสพลานาด",Data!$C:$C,"FG-ES-RAT-01",Data!$A:$A,DATE(2026,5,23)),"")</f>
        <v/>
      </c>
      <c r="Z4" s="130">
        <f>IFERROR(SUMIFS(Data!$F:$F,Data!$B:$B,"เอสพลานาด",Data!$C:$C,"FG-ES-RAT-01",Data!$A:$A,DATE(2026,5,24)),"")</f>
        <v/>
      </c>
      <c r="AA4" s="130">
        <f>IFERROR(SUMIFS(Data!$F:$F,Data!$B:$B,"เอสพลานาด",Data!$C:$C,"FG-ES-RAT-01",Data!$A:$A,DATE(2026,5,25)),"")</f>
        <v/>
      </c>
      <c r="AB4" s="130">
        <f>IFERROR(SUMIFS(Data!$F:$F,Data!$B:$B,"เอสพลานาด",Data!$C:$C,"FG-ES-RAT-01",Data!$A:$A,DATE(2026,5,26)),"")</f>
        <v/>
      </c>
      <c r="AC4" s="130">
        <f>IFERROR(SUMIFS(Data!$F:$F,Data!$B:$B,"เอสพลานาด",Data!$C:$C,"FG-ES-RAT-01",Data!$A:$A,DATE(2026,5,27)),"")</f>
        <v/>
      </c>
      <c r="AD4" s="130">
        <f>IFERROR(SUMIFS(Data!$F:$F,Data!$B:$B,"เอสพลานาด",Data!$C:$C,"FG-ES-RAT-01",Data!$A:$A,DATE(2026,5,28)),"")</f>
        <v/>
      </c>
      <c r="AE4" s="130">
        <f>IFERROR(SUMIFS(Data!$F:$F,Data!$B:$B,"เอสพลานาด",Data!$C:$C,"FG-ES-RAT-01",Data!$A:$A,DATE(2026,5,29)),"")</f>
        <v/>
      </c>
      <c r="AF4" s="130">
        <f>IFERROR(SUMIFS(Data!$F:$F,Data!$B:$B,"เอสพลานาด",Data!$C:$C,"FG-ES-RAT-01",Data!$A:$A,DATE(2026,5,30)),"")</f>
        <v/>
      </c>
      <c r="AG4" s="130">
        <f>IFERROR(SUMIFS(Data!$F:$F,Data!$B:$B,"เอสพลานาด",Data!$C:$C,"FG-ES-RAT-01",Data!$A:$A,DATE(2026,5,31)),"")</f>
        <v/>
      </c>
      <c r="AH4" s="67">
        <f>IFERROR(SUM(C4:AG4),0)</f>
        <v/>
      </c>
      <c r="AI4" s="67">
        <f>AH4*60</f>
        <v/>
      </c>
      <c r="AJ4" s="131">
        <f>IFERROR(AI4/AI8,0)</f>
        <v/>
      </c>
    </row>
    <row r="5" ht="19" customHeight="1" s="87">
      <c r="A5" s="64" t="inlineStr">
        <is>
          <t>FG-ES-RAT-03</t>
        </is>
      </c>
      <c r="B5" s="65" t="inlineStr">
        <is>
          <t>ข้าวมันไก่ทอด</t>
        </is>
      </c>
      <c r="C5" s="130">
        <f>IFERROR(SUMIFS(Data!$F:$F,Data!$B:$B,"เอสพลานาด",Data!$C:$C,"FG-ES-RAT-03",Data!$A:$A,DATE(2026,5,1)),"")</f>
        <v/>
      </c>
      <c r="D5" s="130">
        <f>IFERROR(SUMIFS(Data!$F:$F,Data!$B:$B,"เอสพลานาด",Data!$C:$C,"FG-ES-RAT-03",Data!$A:$A,DATE(2026,5,2)),"")</f>
        <v/>
      </c>
      <c r="E5" s="130">
        <f>IFERROR(SUMIFS(Data!$F:$F,Data!$B:$B,"เอสพลานาด",Data!$C:$C,"FG-ES-RAT-03",Data!$A:$A,DATE(2026,5,3)),"")</f>
        <v/>
      </c>
      <c r="F5" s="130">
        <f>IFERROR(SUMIFS(Data!$F:$F,Data!$B:$B,"เอสพลานาด",Data!$C:$C,"FG-ES-RAT-03",Data!$A:$A,DATE(2026,5,4)),"")</f>
        <v/>
      </c>
      <c r="G5" s="130">
        <f>IFERROR(SUMIFS(Data!$F:$F,Data!$B:$B,"เอสพลานาด",Data!$C:$C,"FG-ES-RAT-03",Data!$A:$A,DATE(2026,5,5)),"")</f>
        <v/>
      </c>
      <c r="H5" s="130">
        <f>IFERROR(SUMIFS(Data!$F:$F,Data!$B:$B,"เอสพลานาด",Data!$C:$C,"FG-ES-RAT-03",Data!$A:$A,DATE(2026,5,6)),"")</f>
        <v/>
      </c>
      <c r="I5" s="130">
        <f>IFERROR(SUMIFS(Data!$F:$F,Data!$B:$B,"เอสพลานาด",Data!$C:$C,"FG-ES-RAT-03",Data!$A:$A,DATE(2026,5,7)),"")</f>
        <v/>
      </c>
      <c r="J5" s="130">
        <f>IFERROR(SUMIFS(Data!$F:$F,Data!$B:$B,"เอสพลานาด",Data!$C:$C,"FG-ES-RAT-03",Data!$A:$A,DATE(2026,5,8)),"")</f>
        <v/>
      </c>
      <c r="K5" s="130">
        <f>IFERROR(SUMIFS(Data!$F:$F,Data!$B:$B,"เอสพลานาด",Data!$C:$C,"FG-ES-RAT-03",Data!$A:$A,DATE(2026,5,9)),"")</f>
        <v/>
      </c>
      <c r="L5" s="130">
        <f>IFERROR(SUMIFS(Data!$F:$F,Data!$B:$B,"เอสพลานาด",Data!$C:$C,"FG-ES-RAT-03",Data!$A:$A,DATE(2026,5,10)),"")</f>
        <v/>
      </c>
      <c r="M5" s="130">
        <f>IFERROR(SUMIFS(Data!$F:$F,Data!$B:$B,"เอสพลานาด",Data!$C:$C,"FG-ES-RAT-03",Data!$A:$A,DATE(2026,5,11)),"")</f>
        <v/>
      </c>
      <c r="N5" s="130">
        <f>IFERROR(SUMIFS(Data!$F:$F,Data!$B:$B,"เอสพลานาด",Data!$C:$C,"FG-ES-RAT-03",Data!$A:$A,DATE(2026,5,12)),"")</f>
        <v/>
      </c>
      <c r="O5" s="130">
        <f>IFERROR(SUMIFS(Data!$F:$F,Data!$B:$B,"เอสพลานาด",Data!$C:$C,"FG-ES-RAT-03",Data!$A:$A,DATE(2026,5,13)),"")</f>
        <v/>
      </c>
      <c r="P5" s="130">
        <f>IFERROR(SUMIFS(Data!$F:$F,Data!$B:$B,"เอสพลานาด",Data!$C:$C,"FG-ES-RAT-03",Data!$A:$A,DATE(2026,5,14)),"")</f>
        <v/>
      </c>
      <c r="Q5" s="130">
        <f>IFERROR(SUMIFS(Data!$F:$F,Data!$B:$B,"เอสพลานาด",Data!$C:$C,"FG-ES-RAT-03",Data!$A:$A,DATE(2026,5,15)),"")</f>
        <v/>
      </c>
      <c r="R5" s="130">
        <f>IFERROR(SUMIFS(Data!$F:$F,Data!$B:$B,"เอสพลานาด",Data!$C:$C,"FG-ES-RAT-03",Data!$A:$A,DATE(2026,5,16)),"")</f>
        <v/>
      </c>
      <c r="S5" s="130">
        <f>IFERROR(SUMIFS(Data!$F:$F,Data!$B:$B,"เอสพลานาด",Data!$C:$C,"FG-ES-RAT-03",Data!$A:$A,DATE(2026,5,17)),"")</f>
        <v/>
      </c>
      <c r="T5" s="130">
        <f>IFERROR(SUMIFS(Data!$F:$F,Data!$B:$B,"เอสพลานาด",Data!$C:$C,"FG-ES-RAT-03",Data!$A:$A,DATE(2026,5,18)),"")</f>
        <v/>
      </c>
      <c r="U5" s="130">
        <f>IFERROR(SUMIFS(Data!$F:$F,Data!$B:$B,"เอสพลานาด",Data!$C:$C,"FG-ES-RAT-03",Data!$A:$A,DATE(2026,5,19)),"")</f>
        <v/>
      </c>
      <c r="V5" s="130">
        <f>IFERROR(SUMIFS(Data!$F:$F,Data!$B:$B,"เอสพลานาด",Data!$C:$C,"FG-ES-RAT-03",Data!$A:$A,DATE(2026,5,20)),"")</f>
        <v/>
      </c>
      <c r="W5" s="130">
        <f>IFERROR(SUMIFS(Data!$F:$F,Data!$B:$B,"เอสพลานาด",Data!$C:$C,"FG-ES-RAT-03",Data!$A:$A,DATE(2026,5,21)),"")</f>
        <v/>
      </c>
      <c r="X5" s="130">
        <f>IFERROR(SUMIFS(Data!$F:$F,Data!$B:$B,"เอสพลานาด",Data!$C:$C,"FG-ES-RAT-03",Data!$A:$A,DATE(2026,5,22)),"")</f>
        <v/>
      </c>
      <c r="Y5" s="130">
        <f>IFERROR(SUMIFS(Data!$F:$F,Data!$B:$B,"เอสพลานาด",Data!$C:$C,"FG-ES-RAT-03",Data!$A:$A,DATE(2026,5,23)),"")</f>
        <v/>
      </c>
      <c r="Z5" s="130">
        <f>IFERROR(SUMIFS(Data!$F:$F,Data!$B:$B,"เอสพลานาด",Data!$C:$C,"FG-ES-RAT-03",Data!$A:$A,DATE(2026,5,24)),"")</f>
        <v/>
      </c>
      <c r="AA5" s="130">
        <f>IFERROR(SUMIFS(Data!$F:$F,Data!$B:$B,"เอสพลานาด",Data!$C:$C,"FG-ES-RAT-03",Data!$A:$A,DATE(2026,5,25)),"")</f>
        <v/>
      </c>
      <c r="AB5" s="130">
        <f>IFERROR(SUMIFS(Data!$F:$F,Data!$B:$B,"เอสพลานาด",Data!$C:$C,"FG-ES-RAT-03",Data!$A:$A,DATE(2026,5,26)),"")</f>
        <v/>
      </c>
      <c r="AC5" s="130">
        <f>IFERROR(SUMIFS(Data!$F:$F,Data!$B:$B,"เอสพลานาด",Data!$C:$C,"FG-ES-RAT-03",Data!$A:$A,DATE(2026,5,27)),"")</f>
        <v/>
      </c>
      <c r="AD5" s="130">
        <f>IFERROR(SUMIFS(Data!$F:$F,Data!$B:$B,"เอสพลานาด",Data!$C:$C,"FG-ES-RAT-03",Data!$A:$A,DATE(2026,5,28)),"")</f>
        <v/>
      </c>
      <c r="AE5" s="130">
        <f>IFERROR(SUMIFS(Data!$F:$F,Data!$B:$B,"เอสพลานาด",Data!$C:$C,"FG-ES-RAT-03",Data!$A:$A,DATE(2026,5,29)),"")</f>
        <v/>
      </c>
      <c r="AF5" s="130">
        <f>IFERROR(SUMIFS(Data!$F:$F,Data!$B:$B,"เอสพลานาด",Data!$C:$C,"FG-ES-RAT-03",Data!$A:$A,DATE(2026,5,30)),"")</f>
        <v/>
      </c>
      <c r="AG5" s="130">
        <f>IFERROR(SUMIFS(Data!$F:$F,Data!$B:$B,"เอสพลานาด",Data!$C:$C,"FG-ES-RAT-03",Data!$A:$A,DATE(2026,5,31)),"")</f>
        <v/>
      </c>
      <c r="AH5" s="67">
        <f>IFERROR(SUM(C5:AG5),0)</f>
        <v/>
      </c>
      <c r="AI5" s="67">
        <f>AH5*60</f>
        <v/>
      </c>
      <c r="AJ5" s="131">
        <f>IFERROR(AI5/AI8,0)</f>
        <v/>
      </c>
    </row>
    <row r="6" ht="19" customHeight="1" s="87">
      <c r="A6" s="69" t="inlineStr">
        <is>
          <t>FG-ES-RAT-15</t>
        </is>
      </c>
      <c r="B6" s="70" t="inlineStr">
        <is>
          <t>ข้าวมันไก่สิงคโปร์</t>
        </is>
      </c>
      <c r="C6" s="132">
        <f>IFERROR(SUMIFS(Data!$F:$F,Data!$B:$B,"เอสพลานาด",Data!$C:$C,"FG-ES-RAT-15",Data!$A:$A,DATE(2026,5,1)),"")</f>
        <v/>
      </c>
      <c r="D6" s="132">
        <f>IFERROR(SUMIFS(Data!$F:$F,Data!$B:$B,"เอสพลานาด",Data!$C:$C,"FG-ES-RAT-15",Data!$A:$A,DATE(2026,5,2)),"")</f>
        <v/>
      </c>
      <c r="E6" s="132">
        <f>IFERROR(SUMIFS(Data!$F:$F,Data!$B:$B,"เอสพลานาด",Data!$C:$C,"FG-ES-RAT-15",Data!$A:$A,DATE(2026,5,3)),"")</f>
        <v/>
      </c>
      <c r="F6" s="132">
        <f>IFERROR(SUMIFS(Data!$F:$F,Data!$B:$B,"เอสพลานาด",Data!$C:$C,"FG-ES-RAT-15",Data!$A:$A,DATE(2026,5,4)),"")</f>
        <v/>
      </c>
      <c r="G6" s="132">
        <f>IFERROR(SUMIFS(Data!$F:$F,Data!$B:$B,"เอสพลานาด",Data!$C:$C,"FG-ES-RAT-15",Data!$A:$A,DATE(2026,5,5)),"")</f>
        <v/>
      </c>
      <c r="H6" s="132">
        <f>IFERROR(SUMIFS(Data!$F:$F,Data!$B:$B,"เอสพลานาด",Data!$C:$C,"FG-ES-RAT-15",Data!$A:$A,DATE(2026,5,6)),"")</f>
        <v/>
      </c>
      <c r="I6" s="132">
        <f>IFERROR(SUMIFS(Data!$F:$F,Data!$B:$B,"เอสพลานาด",Data!$C:$C,"FG-ES-RAT-15",Data!$A:$A,DATE(2026,5,7)),"")</f>
        <v/>
      </c>
      <c r="J6" s="132">
        <f>IFERROR(SUMIFS(Data!$F:$F,Data!$B:$B,"เอสพลานาด",Data!$C:$C,"FG-ES-RAT-15",Data!$A:$A,DATE(2026,5,8)),"")</f>
        <v/>
      </c>
      <c r="K6" s="132">
        <f>IFERROR(SUMIFS(Data!$F:$F,Data!$B:$B,"เอสพลานาด",Data!$C:$C,"FG-ES-RAT-15",Data!$A:$A,DATE(2026,5,9)),"")</f>
        <v/>
      </c>
      <c r="L6" s="132">
        <f>IFERROR(SUMIFS(Data!$F:$F,Data!$B:$B,"เอสพลานาด",Data!$C:$C,"FG-ES-RAT-15",Data!$A:$A,DATE(2026,5,10)),"")</f>
        <v/>
      </c>
      <c r="M6" s="132">
        <f>IFERROR(SUMIFS(Data!$F:$F,Data!$B:$B,"เอสพลานาด",Data!$C:$C,"FG-ES-RAT-15",Data!$A:$A,DATE(2026,5,11)),"")</f>
        <v/>
      </c>
      <c r="N6" s="132">
        <f>IFERROR(SUMIFS(Data!$F:$F,Data!$B:$B,"เอสพลานาด",Data!$C:$C,"FG-ES-RAT-15",Data!$A:$A,DATE(2026,5,12)),"")</f>
        <v/>
      </c>
      <c r="O6" s="132">
        <f>IFERROR(SUMIFS(Data!$F:$F,Data!$B:$B,"เอสพลานาด",Data!$C:$C,"FG-ES-RAT-15",Data!$A:$A,DATE(2026,5,13)),"")</f>
        <v/>
      </c>
      <c r="P6" s="132">
        <f>IFERROR(SUMIFS(Data!$F:$F,Data!$B:$B,"เอสพลานาด",Data!$C:$C,"FG-ES-RAT-15",Data!$A:$A,DATE(2026,5,14)),"")</f>
        <v/>
      </c>
      <c r="Q6" s="132">
        <f>IFERROR(SUMIFS(Data!$F:$F,Data!$B:$B,"เอสพลานาด",Data!$C:$C,"FG-ES-RAT-15",Data!$A:$A,DATE(2026,5,15)),"")</f>
        <v/>
      </c>
      <c r="R6" s="132">
        <f>IFERROR(SUMIFS(Data!$F:$F,Data!$B:$B,"เอสพลานาด",Data!$C:$C,"FG-ES-RAT-15",Data!$A:$A,DATE(2026,5,16)),"")</f>
        <v/>
      </c>
      <c r="S6" s="132">
        <f>IFERROR(SUMIFS(Data!$F:$F,Data!$B:$B,"เอสพลานาด",Data!$C:$C,"FG-ES-RAT-15",Data!$A:$A,DATE(2026,5,17)),"")</f>
        <v/>
      </c>
      <c r="T6" s="132">
        <f>IFERROR(SUMIFS(Data!$F:$F,Data!$B:$B,"เอสพลานาด",Data!$C:$C,"FG-ES-RAT-15",Data!$A:$A,DATE(2026,5,18)),"")</f>
        <v/>
      </c>
      <c r="U6" s="132">
        <f>IFERROR(SUMIFS(Data!$F:$F,Data!$B:$B,"เอสพลานาด",Data!$C:$C,"FG-ES-RAT-15",Data!$A:$A,DATE(2026,5,19)),"")</f>
        <v/>
      </c>
      <c r="V6" s="132">
        <f>IFERROR(SUMIFS(Data!$F:$F,Data!$B:$B,"เอสพลานาด",Data!$C:$C,"FG-ES-RAT-15",Data!$A:$A,DATE(2026,5,20)),"")</f>
        <v/>
      </c>
      <c r="W6" s="132">
        <f>IFERROR(SUMIFS(Data!$F:$F,Data!$B:$B,"เอสพลานาด",Data!$C:$C,"FG-ES-RAT-15",Data!$A:$A,DATE(2026,5,21)),"")</f>
        <v/>
      </c>
      <c r="X6" s="132">
        <f>IFERROR(SUMIFS(Data!$F:$F,Data!$B:$B,"เอสพลานาด",Data!$C:$C,"FG-ES-RAT-15",Data!$A:$A,DATE(2026,5,22)),"")</f>
        <v/>
      </c>
      <c r="Y6" s="132">
        <f>IFERROR(SUMIFS(Data!$F:$F,Data!$B:$B,"เอสพลานาด",Data!$C:$C,"FG-ES-RAT-15",Data!$A:$A,DATE(2026,5,23)),"")</f>
        <v/>
      </c>
      <c r="Z6" s="132">
        <f>IFERROR(SUMIFS(Data!$F:$F,Data!$B:$B,"เอสพลานาด",Data!$C:$C,"FG-ES-RAT-15",Data!$A:$A,DATE(2026,5,24)),"")</f>
        <v/>
      </c>
      <c r="AA6" s="132">
        <f>IFERROR(SUMIFS(Data!$F:$F,Data!$B:$B,"เอสพลานาด",Data!$C:$C,"FG-ES-RAT-15",Data!$A:$A,DATE(2026,5,25)),"")</f>
        <v/>
      </c>
      <c r="AB6" s="132">
        <f>IFERROR(SUMIFS(Data!$F:$F,Data!$B:$B,"เอสพลานาด",Data!$C:$C,"FG-ES-RAT-15",Data!$A:$A,DATE(2026,5,26)),"")</f>
        <v/>
      </c>
      <c r="AC6" s="132">
        <f>IFERROR(SUMIFS(Data!$F:$F,Data!$B:$B,"เอสพลานาด",Data!$C:$C,"FG-ES-RAT-15",Data!$A:$A,DATE(2026,5,27)),"")</f>
        <v/>
      </c>
      <c r="AD6" s="132">
        <f>IFERROR(SUMIFS(Data!$F:$F,Data!$B:$B,"เอสพลานาด",Data!$C:$C,"FG-ES-RAT-15",Data!$A:$A,DATE(2026,5,28)),"")</f>
        <v/>
      </c>
      <c r="AE6" s="132">
        <f>IFERROR(SUMIFS(Data!$F:$F,Data!$B:$B,"เอสพลานาด",Data!$C:$C,"FG-ES-RAT-15",Data!$A:$A,DATE(2026,5,29)),"")</f>
        <v/>
      </c>
      <c r="AF6" s="132">
        <f>IFERROR(SUMIFS(Data!$F:$F,Data!$B:$B,"เอสพลานาด",Data!$C:$C,"FG-ES-RAT-15",Data!$A:$A,DATE(2026,5,30)),"")</f>
        <v/>
      </c>
      <c r="AG6" s="132">
        <f>IFERROR(SUMIFS(Data!$F:$F,Data!$B:$B,"เอสพลานาด",Data!$C:$C,"FG-ES-RAT-15",Data!$A:$A,DATE(2026,5,31)),"")</f>
        <v/>
      </c>
      <c r="AH6" s="72">
        <f>IFERROR(SUM(C6:AG6),0)</f>
        <v/>
      </c>
      <c r="AI6" s="72">
        <f>AH6*75</f>
        <v/>
      </c>
      <c r="AJ6" s="133">
        <f>IFERROR(AI6/AI8,0)</f>
        <v/>
      </c>
    </row>
    <row r="7" ht="3.75" customHeight="1" s="87"/>
    <row r="8" ht="24" customHeight="1" s="87">
      <c r="A8" s="79" t="n"/>
      <c r="B8" s="34" t="inlineStr">
        <is>
          <t>รวมทั้งหมด</t>
        </is>
      </c>
      <c r="C8" s="80">
        <f>IFERROR(SUM(C4:C6),0)</f>
        <v/>
      </c>
      <c r="D8" s="80">
        <f>IFERROR(SUM(D4:D6),0)</f>
        <v/>
      </c>
      <c r="E8" s="80">
        <f>IFERROR(SUM(E4:E6),0)</f>
        <v/>
      </c>
      <c r="F8" s="80">
        <f>IFERROR(SUM(F4:F6),0)</f>
        <v/>
      </c>
      <c r="G8" s="80">
        <f>IFERROR(SUM(G4:G6),0)</f>
        <v/>
      </c>
      <c r="H8" s="80">
        <f>IFERROR(SUM(H4:H6),0)</f>
        <v/>
      </c>
      <c r="I8" s="80">
        <f>IFERROR(SUM(I4:I6),0)</f>
        <v/>
      </c>
      <c r="J8" s="80">
        <f>IFERROR(SUM(J4:J6),0)</f>
        <v/>
      </c>
      <c r="K8" s="80">
        <f>IFERROR(SUM(K4:K6),0)</f>
        <v/>
      </c>
      <c r="L8" s="80">
        <f>IFERROR(SUM(L4:L6),0)</f>
        <v/>
      </c>
      <c r="M8" s="80">
        <f>IFERROR(SUM(M4:M6),0)</f>
        <v/>
      </c>
      <c r="N8" s="80">
        <f>IFERROR(SUM(N4:N6),0)</f>
        <v/>
      </c>
      <c r="O8" s="80">
        <f>IFERROR(SUM(O4:O6),0)</f>
        <v/>
      </c>
      <c r="P8" s="80">
        <f>IFERROR(SUM(P4:P6),0)</f>
        <v/>
      </c>
      <c r="Q8" s="80">
        <f>IFERROR(SUM(Q4:Q6),0)</f>
        <v/>
      </c>
      <c r="R8" s="80">
        <f>IFERROR(SUM(R4:R6),0)</f>
        <v/>
      </c>
      <c r="S8" s="80">
        <f>IFERROR(SUM(S4:S6),0)</f>
        <v/>
      </c>
      <c r="T8" s="80">
        <f>IFERROR(SUM(T4:T6),0)</f>
        <v/>
      </c>
      <c r="U8" s="80">
        <f>IFERROR(SUM(U4:U6),0)</f>
        <v/>
      </c>
      <c r="V8" s="80">
        <f>IFERROR(SUM(V4:V6),0)</f>
        <v/>
      </c>
      <c r="W8" s="80">
        <f>IFERROR(SUM(W4:W6),0)</f>
        <v/>
      </c>
      <c r="X8" s="80">
        <f>IFERROR(SUM(X4:X6),0)</f>
        <v/>
      </c>
      <c r="Y8" s="80">
        <f>IFERROR(SUM(Y4:Y6),0)</f>
        <v/>
      </c>
      <c r="Z8" s="80">
        <f>IFERROR(SUM(Z4:Z6),0)</f>
        <v/>
      </c>
      <c r="AA8" s="80">
        <f>IFERROR(SUM(AA4:AA6),0)</f>
        <v/>
      </c>
      <c r="AB8" s="80">
        <f>IFERROR(SUM(AB4:AB6),0)</f>
        <v/>
      </c>
      <c r="AC8" s="80">
        <f>IFERROR(SUM(AC4:AC6),0)</f>
        <v/>
      </c>
      <c r="AD8" s="80">
        <f>IFERROR(SUM(AD4:AD6),0)</f>
        <v/>
      </c>
      <c r="AE8" s="80">
        <f>IFERROR(SUM(AE4:AE6),0)</f>
        <v/>
      </c>
      <c r="AF8" s="80">
        <f>IFERROR(SUM(AF4:AF6),0)</f>
        <v/>
      </c>
      <c r="AG8" s="80">
        <f>IFERROR(SUM(AG4:AG6),0)</f>
        <v/>
      </c>
      <c r="AH8" s="35">
        <f>IFERROR(SUM(AH4:AH6),0)</f>
        <v/>
      </c>
      <c r="AI8" s="35">
        <f>IFERROR(SUM(AI4:AI6),0)</f>
        <v/>
      </c>
      <c r="AJ8" s="79" t="n"/>
    </row>
    <row r="9" ht="3.75" customHeight="1" s="87"/>
    <row r="10" ht="24" customHeight="1" s="87">
      <c r="A10" s="113" t="inlineStr">
        <is>
          <t>ยอดรวมจาก Data (฿)</t>
        </is>
      </c>
      <c r="B10" s="117" t="n"/>
      <c r="C10" s="136">
        <f>IFERROR(SUMIFS(Data!$F:$F,Data!$B:$B,"เอสพลานาด",Data!$A:$A,DATE(2026,5,1)),"—")</f>
        <v/>
      </c>
      <c r="D10" s="136">
        <f>IFERROR(SUMIFS(Data!$F:$F,Data!$B:$B,"เอสพลานาด",Data!$A:$A,DATE(2026,5,2)),"—")</f>
        <v/>
      </c>
      <c r="E10" s="136">
        <f>IFERROR(SUMIFS(Data!$F:$F,Data!$B:$B,"เอสพลานาด",Data!$A:$A,DATE(2026,5,3)),"—")</f>
        <v/>
      </c>
      <c r="F10" s="136">
        <f>IFERROR(SUMIFS(Data!$F:$F,Data!$B:$B,"เอสพลานาด",Data!$A:$A,DATE(2026,5,4)),"—")</f>
        <v/>
      </c>
      <c r="G10" s="136">
        <f>IFERROR(SUMIFS(Data!$F:$F,Data!$B:$B,"เอสพลานาด",Data!$A:$A,DATE(2026,5,5)),"—")</f>
        <v/>
      </c>
      <c r="H10" s="136">
        <f>IFERROR(SUMIFS(Data!$F:$F,Data!$B:$B,"เอสพลานาด",Data!$A:$A,DATE(2026,5,6)),"—")</f>
        <v/>
      </c>
      <c r="I10" s="136">
        <f>IFERROR(SUMIFS(Data!$F:$F,Data!$B:$B,"เอสพลานาด",Data!$A:$A,DATE(2026,5,7)),"—")</f>
        <v/>
      </c>
      <c r="J10" s="136">
        <f>IFERROR(SUMIFS(Data!$F:$F,Data!$B:$B,"เอสพลานาด",Data!$A:$A,DATE(2026,5,8)),"—")</f>
        <v/>
      </c>
      <c r="K10" s="136">
        <f>IFERROR(SUMIFS(Data!$F:$F,Data!$B:$B,"เอสพลานาด",Data!$A:$A,DATE(2026,5,9)),"—")</f>
        <v/>
      </c>
      <c r="L10" s="136">
        <f>IFERROR(SUMIFS(Data!$F:$F,Data!$B:$B,"เอสพลานาด",Data!$A:$A,DATE(2026,5,10)),"—")</f>
        <v/>
      </c>
      <c r="M10" s="136">
        <f>IFERROR(SUMIFS(Data!$F:$F,Data!$B:$B,"เอสพลานาด",Data!$A:$A,DATE(2026,5,11)),"—")</f>
        <v/>
      </c>
      <c r="N10" s="136">
        <f>IFERROR(SUMIFS(Data!$F:$F,Data!$B:$B,"เอสพลานาด",Data!$A:$A,DATE(2026,5,12)),"—")</f>
        <v/>
      </c>
      <c r="O10" s="136">
        <f>IFERROR(SUMIFS(Data!$F:$F,Data!$B:$B,"เอสพลานาด",Data!$A:$A,DATE(2026,5,13)),"—")</f>
        <v/>
      </c>
      <c r="P10" s="136">
        <f>IFERROR(SUMIFS(Data!$F:$F,Data!$B:$B,"เอสพลานาด",Data!$A:$A,DATE(2026,5,14)),"—")</f>
        <v/>
      </c>
      <c r="Q10" s="136">
        <f>IFERROR(SUMIFS(Data!$F:$F,Data!$B:$B,"เอสพลานาด",Data!$A:$A,DATE(2026,5,15)),"—")</f>
        <v/>
      </c>
      <c r="R10" s="136">
        <f>IFERROR(SUMIFS(Data!$F:$F,Data!$B:$B,"เอสพลานาด",Data!$A:$A,DATE(2026,5,16)),"—")</f>
        <v/>
      </c>
      <c r="S10" s="136">
        <f>IFERROR(SUMIFS(Data!$F:$F,Data!$B:$B,"เอสพลานาด",Data!$A:$A,DATE(2026,5,17)),"—")</f>
        <v/>
      </c>
      <c r="T10" s="136">
        <f>IFERROR(SUMIFS(Data!$F:$F,Data!$B:$B,"เอสพลานาด",Data!$A:$A,DATE(2026,5,18)),"—")</f>
        <v/>
      </c>
      <c r="U10" s="136">
        <f>IFERROR(SUMIFS(Data!$F:$F,Data!$B:$B,"เอสพลานาด",Data!$A:$A,DATE(2026,5,19)),"—")</f>
        <v/>
      </c>
      <c r="V10" s="136">
        <f>IFERROR(SUMIFS(Data!$F:$F,Data!$B:$B,"เอสพลานาด",Data!$A:$A,DATE(2026,5,20)),"—")</f>
        <v/>
      </c>
      <c r="W10" s="136">
        <f>IFERROR(SUMIFS(Data!$F:$F,Data!$B:$B,"เอสพลานาด",Data!$A:$A,DATE(2026,5,21)),"—")</f>
        <v/>
      </c>
      <c r="X10" s="136">
        <f>IFERROR(SUMIFS(Data!$F:$F,Data!$B:$B,"เอสพลานาด",Data!$A:$A,DATE(2026,5,22)),"—")</f>
        <v/>
      </c>
      <c r="Y10" s="136">
        <f>IFERROR(SUMIFS(Data!$F:$F,Data!$B:$B,"เอสพลานาด",Data!$A:$A,DATE(2026,5,23)),"—")</f>
        <v/>
      </c>
      <c r="Z10" s="136">
        <f>IFERROR(SUMIFS(Data!$F:$F,Data!$B:$B,"เอสพลานาด",Data!$A:$A,DATE(2026,5,24)),"—")</f>
        <v/>
      </c>
      <c r="AA10" s="136">
        <f>IFERROR(SUMIFS(Data!$F:$F,Data!$B:$B,"เอสพลานาด",Data!$A:$A,DATE(2026,5,25)),"—")</f>
        <v/>
      </c>
      <c r="AB10" s="136">
        <f>IFERROR(SUMIFS(Data!$F:$F,Data!$B:$B,"เอสพลานาด",Data!$A:$A,DATE(2026,5,26)),"—")</f>
        <v/>
      </c>
      <c r="AC10" s="136">
        <f>IFERROR(SUMIFS(Data!$F:$F,Data!$B:$B,"เอสพลานาด",Data!$A:$A,DATE(2026,5,27)),"—")</f>
        <v/>
      </c>
      <c r="AD10" s="136">
        <f>IFERROR(SUMIFS(Data!$F:$F,Data!$B:$B,"เอสพลานาด",Data!$A:$A,DATE(2026,5,28)),"—")</f>
        <v/>
      </c>
      <c r="AE10" s="136">
        <f>IFERROR(SUMIFS(Data!$F:$F,Data!$B:$B,"เอสพลานาด",Data!$A:$A,DATE(2026,5,29)),"—")</f>
        <v/>
      </c>
      <c r="AF10" s="136">
        <f>IFERROR(SUMIFS(Data!$F:$F,Data!$B:$B,"เอสพลานาด",Data!$A:$A,DATE(2026,5,30)),"—")</f>
        <v/>
      </c>
      <c r="AG10" s="136">
        <f>IFERROR(SUMIFS(Data!$F:$F,Data!$B:$B,"เอสพลานาด",Data!$A:$A,DATE(2026,5,31)),"—")</f>
        <v/>
      </c>
      <c r="AH10" s="82">
        <f>IFERROR(SUMIFS(Data!$F:$F,Data!$B:$B,"เอสพลานาด",Data!$A:$A,"&gt;="&amp;DATE(2026,5,1),Data!$A:$A,"&lt;="&amp;DATE(2026,5,31)),0)</f>
        <v/>
      </c>
      <c r="AK10" s="83">
        <f>IFERROR(SUMIFS(Data!$F:$F,Data!$B:$B,"เอสพลานาด",Data!$A:$A,"&gt;="&amp;DATE(2026,5,1),Data!$A:$A,"&lt;="&amp;DATE(2026,5,15)),0)</f>
        <v/>
      </c>
      <c r="AL10" s="83">
        <f>IFERROR(SUMIFS(Data!$F:$F,Data!$B:$B,"เอสพลานาด",Data!$A:$A,"&gt;="&amp;DATE(2026,5,16),Data!$A:$A,"&lt;="&amp;DATE(2026,5,31)),0)</f>
        <v/>
      </c>
      <c r="AM10" s="84">
        <f>AK10*0.7111</f>
        <v/>
      </c>
      <c r="AN10" s="84">
        <f>AL10*0.7111</f>
        <v/>
      </c>
    </row>
  </sheetData>
  <mergeCells count="2">
    <mergeCell ref="A10:B10"/>
    <mergeCell ref="A1:A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87" min="1" max="1"/>
    <col width="28" customWidth="1" style="87" min="2" max="2"/>
    <col width="7" customWidth="1" style="87" min="3" max="33"/>
    <col width="11" customWidth="1" style="87" min="34" max="34"/>
    <col width="12" customWidth="1" style="87" min="35" max="35"/>
    <col width="11" customWidth="1" style="87" min="36" max="36"/>
  </cols>
  <sheetData>
    <row r="1" ht="27.75" customHeight="1" s="87">
      <c r="A1" s="115" t="inlineStr">
        <is>
          <t>สาขา ขายเงินสด — ยอดขายรายเมนู พฤษภาคม 2569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7" t="n"/>
    </row>
    <row r="2" ht="6" customHeight="1" s="87"/>
    <row r="3" ht="21.75" customHeight="1" s="87">
      <c r="A3" s="110" t="inlineStr">
        <is>
          <t>Item_Code</t>
        </is>
      </c>
      <c r="B3" s="85" t="inlineStr">
        <is>
          <t>ชื่อเมนู</t>
        </is>
      </c>
      <c r="C3" s="63" t="inlineStr">
        <is>
          <t>ศ
1/5</t>
        </is>
      </c>
      <c r="D3" s="63" t="inlineStr">
        <is>
          <t>ส
2/5</t>
        </is>
      </c>
      <c r="E3" s="63" t="inlineStr">
        <is>
          <t>อา
3/5</t>
        </is>
      </c>
      <c r="F3" s="63" t="inlineStr">
        <is>
          <t>จ
4/5</t>
        </is>
      </c>
      <c r="G3" s="63" t="inlineStr">
        <is>
          <t>อ
5/5</t>
        </is>
      </c>
      <c r="H3" s="63" t="inlineStr">
        <is>
          <t>พ
6/5</t>
        </is>
      </c>
      <c r="I3" s="63" t="inlineStr">
        <is>
          <t>พฤ
7/5</t>
        </is>
      </c>
      <c r="J3" s="63" t="inlineStr">
        <is>
          <t>ศ
8/5</t>
        </is>
      </c>
      <c r="K3" s="63" t="inlineStr">
        <is>
          <t>ส
9/5</t>
        </is>
      </c>
      <c r="L3" s="63" t="inlineStr">
        <is>
          <t>อา
10/5</t>
        </is>
      </c>
      <c r="M3" s="63" t="inlineStr">
        <is>
          <t>จ
11/5</t>
        </is>
      </c>
      <c r="N3" s="63" t="inlineStr">
        <is>
          <t>อ
12/5</t>
        </is>
      </c>
      <c r="O3" s="63" t="inlineStr">
        <is>
          <t>พ
13/5</t>
        </is>
      </c>
      <c r="P3" s="63" t="inlineStr">
        <is>
          <t>พฤ
14/5</t>
        </is>
      </c>
      <c r="Q3" s="63" t="inlineStr">
        <is>
          <t>ศ
15/5</t>
        </is>
      </c>
      <c r="R3" s="63" t="inlineStr">
        <is>
          <t>ส
16/5</t>
        </is>
      </c>
      <c r="S3" s="63" t="inlineStr">
        <is>
          <t>อา
17/5</t>
        </is>
      </c>
      <c r="T3" s="63" t="inlineStr">
        <is>
          <t>จ
18/5</t>
        </is>
      </c>
      <c r="U3" s="63" t="inlineStr">
        <is>
          <t>อ
19/5</t>
        </is>
      </c>
      <c r="V3" s="63" t="inlineStr">
        <is>
          <t>พ
20/5</t>
        </is>
      </c>
      <c r="W3" s="63" t="inlineStr">
        <is>
          <t>พฤ
21/5</t>
        </is>
      </c>
      <c r="X3" s="63" t="inlineStr">
        <is>
          <t>ศ
22/5</t>
        </is>
      </c>
      <c r="Y3" s="63" t="inlineStr">
        <is>
          <t>ส
23/5</t>
        </is>
      </c>
      <c r="Z3" s="63" t="inlineStr">
        <is>
          <t>อา
24/5</t>
        </is>
      </c>
      <c r="AA3" s="63" t="inlineStr">
        <is>
          <t>จ
25/5</t>
        </is>
      </c>
      <c r="AB3" s="63" t="inlineStr">
        <is>
          <t>อ
26/5</t>
        </is>
      </c>
      <c r="AC3" s="63" t="inlineStr">
        <is>
          <t>พ
27/5</t>
        </is>
      </c>
      <c r="AD3" s="63" t="inlineStr">
        <is>
          <t>พฤ
28/5</t>
        </is>
      </c>
      <c r="AE3" s="63" t="inlineStr">
        <is>
          <t>ศ
29/5</t>
        </is>
      </c>
      <c r="AF3" s="63" t="inlineStr">
        <is>
          <t>ส
30/5</t>
        </is>
      </c>
      <c r="AG3" s="63" t="inlineStr">
        <is>
          <t>อา
31/5</t>
        </is>
      </c>
      <c r="AH3" s="106" t="inlineStr">
        <is>
          <t>รวม (จาน)</t>
        </is>
      </c>
      <c r="AI3" s="106" t="inlineStr">
        <is>
          <t>รวม (฿)</t>
        </is>
      </c>
      <c r="AJ3" s="106" t="inlineStr">
        <is>
          <t>%</t>
        </is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2026-05-04T08:06:07Z</dcterms:created>
  <dcterms:modified xsi:type="dcterms:W3CDTF">2026-05-04T08:32:27Z</dcterms:modified>
  <cp:lastModifiedBy>Samart Konglomyat</cp:lastModifiedBy>
</cp:coreProperties>
</file>